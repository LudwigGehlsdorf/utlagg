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22.xml"/>
  <Override ContentType="application/vnd.ms-excel.documenttasks+xml" PartName="/xl/documenttasks/documenttask20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21.xml"/>
  <Override ContentType="application/vnd.ms-excel.documenttasks+xml" PartName="/xl/documenttasks/documenttask19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20.xml"/>
  <Override ContentType="application/vnd.ms-excel.threadedcomments+xml" PartName="/xl/threadedComments/threadedComment22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19.xml"/>
  <Override ContentType="application/vnd.ms-excel.threadedcomments+xml" PartName="/xl/threadedComments/threadedComment17.xml"/>
  <Override ContentType="application/vnd.ms-excel.threadedcomments+xml" PartName="/xl/threadedComments/threadedComment21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mbudget" sheetId="1" r:id="rId5"/>
    <sheet state="visible" name="Parametrar" sheetId="2" r:id="rId6"/>
    <sheet state="visible" name="AKTU01" sheetId="3" r:id="rId7"/>
    <sheet state="visible" name="AKTU03" sheetId="4" r:id="rId8"/>
    <sheet state="visible" name="AKTU04" sheetId="5" r:id="rId9"/>
    <sheet state="visible" name="AKTU07" sheetId="6" r:id="rId10"/>
    <sheet state="visible" name="AKTU08" sheetId="7" r:id="rId11"/>
    <sheet state="visible" name="CAFE01" sheetId="8" r:id="rId12"/>
    <sheet state="visible" name="CAFE02" sheetId="9" r:id="rId13"/>
    <sheet state="visible" name="CAFE04" sheetId="10" r:id="rId14"/>
    <sheet state="visible" name="CPU01" sheetId="11" r:id="rId15"/>
    <sheet state="visible" name="FRA01" sheetId="12" r:id="rId16"/>
    <sheet state="visible" name="INFU01" sheetId="13" r:id="rId17"/>
    <sheet state="visible" name="INFU03" sheetId="14" r:id="rId18"/>
    <sheet state="visible" name="KAL01" sheetId="15" r:id="rId19"/>
    <sheet state="visible" name="KAL04" sheetId="16" r:id="rId20"/>
    <sheet state="visible" name="MED01" sheetId="17" r:id="rId21"/>
    <sheet state="visible" name="NARU01" sheetId="18" r:id="rId22"/>
    <sheet state="visible" name="NARU02" sheetId="19" r:id="rId23"/>
    <sheet state="visible" name="NARU03" sheetId="20" r:id="rId24"/>
    <sheet state="visible" name="NOLL01" sheetId="21" r:id="rId25"/>
    <sheet state="visible" name="NOLL02" sheetId="22" r:id="rId26"/>
    <sheet state="visible" name="NOLL03" sheetId="23" r:id="rId27"/>
    <sheet state="visible" name="NOLL04" sheetId="24" r:id="rId28"/>
    <sheet state="visible" name="SEKT01" sheetId="25" r:id="rId29"/>
    <sheet state="visible" name="SEKT02" sheetId="26" r:id="rId30"/>
    <sheet state="visible" name="SEKT03" sheetId="27" r:id="rId31"/>
    <sheet state="visible" name="SEKT05" sheetId="28" r:id="rId32"/>
    <sheet state="visible" name="SEKT06" sheetId="29" r:id="rId33"/>
    <sheet state="visible" name="SEKT07" sheetId="30" r:id="rId34"/>
    <sheet state="visible" name="SEKT08" sheetId="31" r:id="rId35"/>
    <sheet state="visible" name="SEX01" sheetId="32" r:id="rId36"/>
    <sheet state="visible" name="SEX02" sheetId="33" r:id="rId37"/>
    <sheet state="visible" name="SEX03" sheetId="34" r:id="rId38"/>
    <sheet state="visible" name="SEX04" sheetId="35" r:id="rId39"/>
    <sheet state="visible" name="SEX05" sheetId="36" r:id="rId40"/>
    <sheet state="visible" name="SEX09" sheetId="37" r:id="rId41"/>
    <sheet state="visible" name="SKT01" sheetId="38" r:id="rId42"/>
    <sheet state="visible" name="SKT02" sheetId="39" r:id="rId43"/>
    <sheet state="visible" name="SRD01" sheetId="40" r:id="rId44"/>
    <sheet state="visible" name="SRD02" sheetId="41" r:id="rId45"/>
    <sheet state="visible" name="STYR01" sheetId="42" r:id="rId46"/>
    <sheet state="visible" name="TACK01" sheetId="43" r:id="rId47"/>
    <sheet state="visible" name="TACK02" sheetId="44" r:id="rId48"/>
    <sheet state="visible" name="TEK01" sheetId="45" r:id="rId49"/>
    <sheet state="visible" name="TEK02" sheetId="46" r:id="rId50"/>
    <sheet state="visible" name="TEK03" sheetId="47" r:id="rId51"/>
    <sheet state="visible" name="TEK04" sheetId="48" r:id="rId52"/>
    <sheet state="visible" name="TEK05" sheetId="49" r:id="rId53"/>
    <sheet state="visible" name="TEK06" sheetId="50" r:id="rId54"/>
    <sheet state="visible" name="TRI01" sheetId="51" r:id="rId55"/>
    <sheet state="visible" name="VAL01" sheetId="52" r:id="rId5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tc={026913dd-b8c9-4dfa-9786-73b86429db6c}</author>
    <author>tc={31c45d92-0c2f-41c1-b18e-fa873a7f84d6}</author>
    <author>tc={77f3e126-1ad1-4dfc-80ef-d83a8982e81c}</author>
    <author>tc={8c4f4631-459f-46c9-93f5-95c8ddce4822}</author>
    <author>tc={9314c5bf-5400-4a0e-a694-1f64306c9fe4}</author>
    <author>tc={95727579-e375-4ed7-b462-28425a784a83}</author>
    <author>tc={a36b9e2a-76ea-4586-8a13-4ee3eac3f698}</author>
    <author>tc={bfa4d982-aa3f-4003-a36f-fe698ba14249}</author>
    <author>tc={d5aeb716-9ea1-4737-b2d4-ceefa4231b77}</author>
    <author>tc={f836e106-9387-492b-9c22-96878f20d5d2}</author>
  </authors>
  <commentList>
    <comment authorId="0" xr:uid="{026913dd-b8c9-4dfa-9786-73b86429db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Kostar mer
</t>
      </text>
    </comment>
    <comment authorId="1" xr:uid="{31c45d92-0c2f-41c1-b18e-fa873a7f84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Kanske ta bort?
</t>
      </text>
    </comment>
    <comment authorId="2" xr:uid="{77f3e126-1ad1-4dfc-80ef-d83a8982e8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 kostnad
</t>
      </text>
    </comment>
    <comment authorId="3" xr:uid="{8c4f4631-459f-46c9-93f5-95c8ddce48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sänka till 3......
</t>
      </text>
    </comment>
    <comment authorId="4" xr:uid="{9314c5bf-5400-4a0e-a694-1f64306c9f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Kostar 1532
</t>
      </text>
    </comment>
    <comment authorId="5" xr:uid="{95727579-e375-4ed7-b462-28425a784a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Bort på sektionsmöten?
</t>
      </text>
    </comment>
    <comment authorId="6" xr:uid="{a36b9e2a-76ea-4586-8a13-4ee3eac3f6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 vad detta avser
</t>
      </text>
    </comment>
    <comment authorId="7" xr:uid="{bfa4d982-aa3f-4003-a36f-fe698ba142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Pepptisdag får kosta
</t>
      </text>
    </comment>
    <comment authorId="8" xr:uid="{d5aeb716-9ea1-4737-b2d4-ceefa4231b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Crazy att man haft budget till detta
</t>
      </text>
    </comment>
    <comment authorId="9" xr:uid="{f836e106-9387-492b-9c22-96878f20d5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HEJDÅ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tc={cefe6e01-d46c-4233-b15d-db63b90d0de5}</author>
  </authors>
  <commentList>
    <comment authorId="0" xr:uid="{cefe6e01-d46c-4233-b15d-db63b90d0de5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Bör väl vara 1 i år?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tc={2abb21c7-73f9-4e86-9128-a575f64723ad}</author>
    <author>tc={7300ca8c-ef07-43fc-a0d2-16c853772e68}</author>
    <author>tc={bea8e2a8-186d-4559-b7e4-2c2b75d9a474}</author>
  </authors>
  <commentList>
    <comment authorId="0" xr:uid="{2abb21c7-73f9-4e86-9128-a575f64723ad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1595
</t>
      </text>
    </comment>
    <comment authorId="1" xr:uid="{7300ca8c-ef07-43fc-a0d2-16c853772e68}" ref="N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Lägg till post för övriga kostnader
</t>
      </text>
    </comment>
    <comment authorId="2" xr:uid="{bea8e2a8-186d-4559-b7e4-2c2b75d9a474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Snacka med E:arna och habibi
Reply:
	Höjt med 20kr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tc={2be2852d-de13-4b53-9389-6f092ce8b93f}</author>
  </authors>
  <commentList>
    <comment authorId="0" xr:uid="{2be2852d-de13-4b53-9389-6f092ce8b93f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kastrera?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tc={304ad9fb-e3f1-4fc5-9a7e-c8538e5c7060}</author>
    <author>tc={3b3f174f-677a-43a3-8dce-f8f6b2c01dab}</author>
  </authors>
  <commentList>
    <comment authorId="0" xr:uid="{304ad9fb-e3f1-4fc5-9a7e-c8538e5c7060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Kostar en macka 24 kr att göra?
</t>
      </text>
    </comment>
    <comment authorId="1" xr:uid="{3b3f174f-677a-43a3-8dce-f8f6b2c01dab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 på detta Thyra
Reply:
	Är detta representativt?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tc={b33410c1-be07-4a6f-99ff-904fe6db4218}</author>
  </authors>
  <commentList>
    <comment authorId="0" xr:uid="{b33410c1-be07-4a6f-99ff-904fe6db4218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Är dessa siffror rimliga?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tc={28d1bde2-6fcb-444f-a2fa-da56026bd2cc}</author>
    <author>tc={9c0d9e85-0b47-463b-843e-eda0bb32673d}</author>
    <author>tc={afdeb110-7974-457e-a721-e9eba44cdd2d}</author>
    <author>tc={b39a57dc-26ee-46ce-9c62-4dfc0415798c}</author>
  </authors>
  <commentList>
    <comment authorId="0" xr:uid="{28d1bde2-6fcb-444f-a2fa-da56026bd2cc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Just ja, vi payar inte för detta utan får det gratis
</t>
      </text>
    </comment>
    <comment authorId="1" xr:uid="{9c0d9e85-0b47-463b-843e-eda0bb32673d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Vad avser detta för inkomster? Rimligt att få in 70k från övrigt?
Reply:
	Från vad jag kan se i bokföring omsätter vi cirka 432000 totti på naru02
</t>
      </text>
    </comment>
    <comment authorId="2" xr:uid="{afdeb110-7974-457e-a721-e9eba44cdd2d}" ref="L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innan revidering så inte superrelevant kanske men denna stämmer inte, borde va 210 000 kr
</t>
      </text>
    </comment>
    <comment authorId="3" xr:uid="{b39a57dc-26ee-46ce-9c62-4dfc0415798c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Vilka priser gäller?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tc={2a201221-62f3-4154-98c2-a462af1c0d5b}</author>
    <author>tc={3034df1f-0de1-4fdf-945f-030502792e3c}</author>
  </authors>
  <commentList>
    <comment authorId="0" xr:uid="{2a201221-62f3-4154-98c2-a462af1c0d5b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kr?
Reply:
	Tänker "arbetskläder ska arbetas i" inte krökas i
</t>
      </text>
    </comment>
    <comment authorId="1" xr:uid="{3034df1f-0de1-4fdf-945f-030502792e3c}" ref="J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Köpa biljettistället. Kan nollas utan policyändring enligt mig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tc={f63c47a2-91fe-488c-954b-39c00aa6e33e}</author>
  </authors>
  <commentList>
    <comment authorId="0" xr:uid="{f63c47a2-91fe-488c-954b-39c00aa6e33e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Baka in hos Naru02?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tc={29aa7d15-f4ce-4fa9-88b0-29b1dfede459}</author>
  </authors>
  <commentList>
    <comment authorId="0" xr:uid="{29aa7d15-f4ce-4fa9-88b0-29b1dfede459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Ska pepptisdagen kosta?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tc={f31eeb0a-a917-4a5b-80b5-527b55d195bd}</author>
  </authors>
  <commentList>
    <comment authorId="0" xr:uid="{f31eeb0a-a917-4a5b-80b5-527b55d195bd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Lägg till teknologkårmössor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tc={7702dce2-0894-42f1-b8fc-943632a11a61}</author>
    <author>tc={e7ad02b2-35bd-465e-952a-5817a6ac272b}</author>
  </authors>
  <commentList>
    <comment authorId="0" xr:uid="{7702dce2-0894-42f1-b8fc-943632a11a61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kr per person
Reply:
	Om inte mer
Reply:
	Matlåta?
</t>
      </text>
    </comment>
    <comment authorId="1" xr:uid="{e7ad02b2-35bd-465e-952a-5817a6ac272b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Kanske att man ska paya för mat?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tc={2c099354-62c8-45fc-aeb3-f07380044c24}</author>
  </authors>
  <commentList>
    <comment authorId="0" xr:uid="{2c099354-62c8-45fc-aeb3-f07380044c24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Spenderade 16000 kr 2025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tc={b0efd407-77e4-4035-820f-fab8909df593}</author>
  </authors>
  <commentList>
    <comment authorId="0" xr:uid="{b0efd407-77e4-4035-820f-fab8909df593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Dyrt med tillstånd nuförtiden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tc={14d12bc9-7cb2-4cf4-8822-476894115217}</author>
    <author>tc={d88aeafd-65c5-48bd-97d8-caff0ca4c62a}</author>
  </authors>
  <commentList>
    <comment authorId="0" xr:uid="{14d12bc9-7cb2-4cf4-8822-476894115217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 klarar oss
</t>
      </text>
    </comment>
    <comment authorId="1" xr:uid="{d88aeafd-65c5-48bd-97d8-caff0ca4c62a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Alla får inte ens vanligtvis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tc={77431aaa-109f-4e3e-8ebf-26014cf66a9e}</author>
    <author>tc={bd7b8211-6ee1-4886-b3f4-1a5116467925}</author>
    <author>tc={f49a22a5-06d8-4512-8192-5f5813f8e76e}</author>
  </authors>
  <commentList>
    <comment authorId="0" xr:uid="{77431aaa-109f-4e3e-8ebf-26014cf66a9e}" ref="J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Föregående utan förlustfördelning för dansken kommer
</t>
      </text>
    </comment>
    <comment authorId="1" xr:uid="{bd7b8211-6ee1-4886-b3f4-1a5116467925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 dessa
</t>
      </text>
    </comment>
    <comment authorId="2" xr:uid="{f49a22a5-06d8-4512-8192-5f5813f8e76e}" ref="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Bör vi budgetera så att sittningar +-0 när man räknar med alkohol eller utan alkohol?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tc={b43e4d5d-bcde-49ac-8e50-7869c0ff53e6}</author>
    <author>tc={c150b97d-fda4-4350-b1f1-d9637dad36d3}</author>
  </authors>
  <commentList>
    <comment authorId="0" xr:uid="{b43e4d5d-bcde-49ac-8e50-7869c0ff53e6}" ref="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Jättesus? Budgeterar för att gå back på mat?
Reply:
	KOlla matkostnad företagspub
</t>
      </text>
    </comment>
    <comment authorId="1" xr:uid="{c150b97d-fda4-4350-b1f1-d9637dad36d3}" ref="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 hur mycket företag ger för mat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tc={22d4a7bc-ca44-4b7d-887e-9243960fc3c8}</author>
    <author>tc={3789db86-eac8-4e0a-84c4-dbe844809899}</author>
  </authors>
  <commentList>
    <comment authorId="0" xr:uid="{22d4a7bc-ca44-4b7d-887e-9243960fc3c8}" ref="J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tlth höjt priser
</t>
      </text>
    </comment>
    <comment authorId="1" xr:uid="{3789db86-eac8-4e0a-84c4-dbe844809899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Fyrverkerier ingår i biljettpriset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tc={251c5f8a-4d69-4f67-9f07-74a59c4714ff}</author>
  </authors>
  <commentList>
    <comment authorId="0" xr:uid="{251c5f8a-4d69-4f67-9f07-74a59c4714ff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kolla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tc={2a55ffd1-b1c8-4e2c-bf8a-413273a6980d}</author>
    <author>tc={309324dd-7da9-4c0b-8ef5-7f1b12b8ff17}</author>
  </authors>
  <commentList>
    <comment authorId="0" xr:uid="{2a55ffd1-b1c8-4e2c-bf8a-413273a6980d}" ref="J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 payat för ett halvår
</t>
      </text>
    </comment>
    <comment authorId="1" xr:uid="{309324dd-7da9-4c0b-8ef5-7f1b12b8ff17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Bokfört för 5500 kr totti 2025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tc={cbc2bf2c-2cf7-4fde-a693-40e93568e27e}</author>
    <author>tc={db6da7c1-d96b-4077-9abe-09e4cb57ee5e}</author>
  </authors>
  <commentList>
    <comment authorId="0" xr:uid="{cbc2bf2c-2cf7-4fde-a693-40e93568e27e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Ingen mat till övriga pluggkvällar
</t>
      </text>
    </comment>
    <comment authorId="1" xr:uid="{db6da7c1-d96b-4077-9abe-09e4cb57ee5e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Får vi bidrag?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tc={62a8e04a-13dd-4587-bcd7-d2faf2e73bd7}</author>
  </authors>
  <commentList>
    <comment authorId="0" xr:uid="{62a8e04a-13dd-4587-bcd7-d2faf2e73bd7}" ref="J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Namnbricka istället
</t>
      </text>
    </comment>
  </commentList>
</comments>
</file>

<file path=xl/sharedStrings.xml><?xml version="1.0" encoding="utf-8"?>
<sst xmlns="http://schemas.openxmlformats.org/spreadsheetml/2006/main" count="2356" uniqueCount="698">
  <si>
    <t>Allmän info</t>
  </si>
  <si>
    <t>2026 REV</t>
  </si>
  <si>
    <t>2026</t>
  </si>
  <si>
    <t>Intäkter</t>
  </si>
  <si>
    <t>Kostnader</t>
  </si>
  <si>
    <t>Resultat</t>
  </si>
  <si>
    <t>Totalt</t>
  </si>
  <si>
    <t>Beteckning</t>
  </si>
  <si>
    <t>Kostnadsställe</t>
  </si>
  <si>
    <t>Aktivitetsutskottet</t>
  </si>
  <si>
    <t>AKTU01</t>
  </si>
  <si>
    <t>AKTU03</t>
  </si>
  <si>
    <t>AKTU04</t>
  </si>
  <si>
    <t>AKTU07</t>
  </si>
  <si>
    <t>AKTU08</t>
  </si>
  <si>
    <t>Totalt aktivitetsutskottet</t>
  </si>
  <si>
    <t>Cafémästeriet</t>
  </si>
  <si>
    <t>CAFE01</t>
  </si>
  <si>
    <t>CAFE02</t>
  </si>
  <si>
    <t>CAFE04</t>
  </si>
  <si>
    <t>Totalt cafémästeriet</t>
  </si>
  <si>
    <t>Centralprocessutskottet</t>
  </si>
  <si>
    <t>CPU01</t>
  </si>
  <si>
    <t>Totalt framtidsutskottet</t>
  </si>
  <si>
    <t>Framtidsutskottet</t>
  </si>
  <si>
    <t>FRA01</t>
  </si>
  <si>
    <t>Allmänt</t>
  </si>
  <si>
    <t>Informationsutskottet</t>
  </si>
  <si>
    <t>INFU01</t>
  </si>
  <si>
    <t>INFU03</t>
  </si>
  <si>
    <t>Totalt informationsutskottet</t>
  </si>
  <si>
    <t>Källarmästeriet</t>
  </si>
  <si>
    <t>KAL01</t>
  </si>
  <si>
    <t>KAL04</t>
  </si>
  <si>
    <t>Totalt källarmästeriet</t>
  </si>
  <si>
    <t>Medaljelelekommitén</t>
  </si>
  <si>
    <t>MED01</t>
  </si>
  <si>
    <t>Totalt medaljelelekommitén</t>
  </si>
  <si>
    <t>Näringslivsutskottet</t>
  </si>
  <si>
    <t>NARU01</t>
  </si>
  <si>
    <t>NARU02</t>
  </si>
  <si>
    <t>NARU03</t>
  </si>
  <si>
    <t>Totalt näringsliv</t>
  </si>
  <si>
    <t>Nollningsutskottet</t>
  </si>
  <si>
    <t>NOLL01</t>
  </si>
  <si>
    <t>NOLL02</t>
  </si>
  <si>
    <t>NOLL03</t>
  </si>
  <si>
    <t>NOLL04</t>
  </si>
  <si>
    <t>Totalt nollningsutskottet</t>
  </si>
  <si>
    <t>Sektionen</t>
  </si>
  <si>
    <t>SEKT01</t>
  </si>
  <si>
    <t>SEKT02</t>
  </si>
  <si>
    <t>SEKT03</t>
  </si>
  <si>
    <t>SEKT05</t>
  </si>
  <si>
    <t>SEKT06</t>
  </si>
  <si>
    <t>SEKT07</t>
  </si>
  <si>
    <t>SEKT08</t>
  </si>
  <si>
    <t>Totalt sektionen</t>
  </si>
  <si>
    <t>Sexmästeriet</t>
  </si>
  <si>
    <t>SEX01</t>
  </si>
  <si>
    <t>SEX02</t>
  </si>
  <si>
    <t>SEX03</t>
  </si>
  <si>
    <t>SEX04</t>
  </si>
  <si>
    <t>SEX05</t>
  </si>
  <si>
    <t>SEX09</t>
  </si>
  <si>
    <t>Totalt sexmästeriet</t>
  </si>
  <si>
    <t>Skattmästeriet</t>
  </si>
  <si>
    <t>SKT01</t>
  </si>
  <si>
    <t>SKT02</t>
  </si>
  <si>
    <t>Totalt skattmästeriet</t>
  </si>
  <si>
    <t>Studierådet</t>
  </si>
  <si>
    <t>SRD01</t>
  </si>
  <si>
    <t>SRD02</t>
  </si>
  <si>
    <t>Totalt studierådet</t>
  </si>
  <si>
    <t>Styrelsen</t>
  </si>
  <si>
    <t>STYR01</t>
  </si>
  <si>
    <t>Totalt styrelsen</t>
  </si>
  <si>
    <t>Tackmästeriet</t>
  </si>
  <si>
    <t>TACK01</t>
  </si>
  <si>
    <t>TACK02</t>
  </si>
  <si>
    <t>Teknikfokus</t>
  </si>
  <si>
    <t>TEK01</t>
  </si>
  <si>
    <t>TEK02</t>
  </si>
  <si>
    <t>TEK03</t>
  </si>
  <si>
    <t>TEK04</t>
  </si>
  <si>
    <t>TEK05</t>
  </si>
  <si>
    <t>TEK06</t>
  </si>
  <si>
    <t>Totalt Teknikfokus</t>
  </si>
  <si>
    <t>Trivselrådet</t>
  </si>
  <si>
    <t>TRI01</t>
  </si>
  <si>
    <t>Totalt trivselrådet</t>
  </si>
  <si>
    <t>Valberedningen</t>
  </si>
  <si>
    <t>VAL01</t>
  </si>
  <si>
    <t>Totalt valberedningen</t>
  </si>
  <si>
    <t>Parametrar</t>
  </si>
  <si>
    <t>För att enklara justera generella kostnader / parametrar för budgeten</t>
  </si>
  <si>
    <t>Namn / Reglering</t>
  </si>
  <si>
    <t>Schablonkostnader</t>
  </si>
  <si>
    <t>Prisbasbelopp</t>
  </si>
  <si>
    <t>Tack enl. policy</t>
  </si>
  <si>
    <t>Tröja enl. policy</t>
  </si>
  <si>
    <t>Mat</t>
  </si>
  <si>
    <t>Fortnox Licenskostnad (styck pris ink. moms)</t>
  </si>
  <si>
    <t>Fortnox — Bokföring</t>
  </si>
  <si>
    <t>Fortnox — Bokföring (för bokslut)</t>
  </si>
  <si>
    <t>Fortnox — Offert och order</t>
  </si>
  <si>
    <t>Fortnox — Fakturering</t>
  </si>
  <si>
    <t>Fortnox — Läs (Revisorer)</t>
  </si>
  <si>
    <t>Fortnox — Integration</t>
  </si>
  <si>
    <t>Alkohol</t>
  </si>
  <si>
    <t>FÖREGÅENDE ÅR - Ölkostnad</t>
  </si>
  <si>
    <t>FÖREGÅENDE ÅR - Övrig jäst dryckförsäljning</t>
  </si>
  <si>
    <t>FÖREGÅENDE ÅR - Vinkostnad</t>
  </si>
  <si>
    <t>FÖREGÅENDE ÅR - Spritdrycksförsäljning</t>
  </si>
  <si>
    <t>FÖREGÅENDE ÅR - Ölförsäljning</t>
  </si>
  <si>
    <t>FÖREGÅENDE ÅR - Vinförsäljning</t>
  </si>
  <si>
    <t>(karnevalen kommer påverka våra säljsiffror)</t>
  </si>
  <si>
    <t>GENOMSNITTLIGT Påslag öl</t>
  </si>
  <si>
    <t>x</t>
  </si>
  <si>
    <t>=</t>
  </si>
  <si>
    <t>GENOMSNITTLIGT Påslag övrig jäst dryck</t>
  </si>
  <si>
    <t>GENOMSNITTLIGT Påslag vin</t>
  </si>
  <si>
    <t>GENOMSNITTLIGT Påslag spritdryck</t>
  </si>
  <si>
    <t>Sittning</t>
  </si>
  <si>
    <t>Sanity check</t>
  </si>
  <si>
    <t>Andel av total ölförsäljning</t>
  </si>
  <si>
    <t>/</t>
  </si>
  <si>
    <t>ÖL</t>
  </si>
  <si>
    <t>Andel av total ciderförsäljning</t>
  </si>
  <si>
    <t>Cider</t>
  </si>
  <si>
    <t>Andel av total vinförsäljning</t>
  </si>
  <si>
    <t>Vin</t>
  </si>
  <si>
    <t>Andel av total spritförsäljning</t>
  </si>
  <si>
    <t>Sprit</t>
  </si>
  <si>
    <t>Pub</t>
  </si>
  <si>
    <t>NolleGasque</t>
  </si>
  <si>
    <t>SkiphtesGasque</t>
  </si>
  <si>
    <t>UtEDischot</t>
  </si>
  <si>
    <t>Alkohol bokförd utan kostnadställe</t>
  </si>
  <si>
    <t>Funktionärer</t>
  </si>
  <si>
    <t>Mötesfika, tack, tröjor och jobbardricka för funktionärer i aktivitetsutskottet.</t>
  </si>
  <si>
    <t xml:space="preserve">Summa intäkter </t>
  </si>
  <si>
    <t>Summa utgifter</t>
  </si>
  <si>
    <t>Konto</t>
  </si>
  <si>
    <t>Namn</t>
  </si>
  <si>
    <t>Jobbarmat/Mötesfika</t>
  </si>
  <si>
    <t>Mötesfika</t>
  </si>
  <si>
    <t>Summa</t>
  </si>
  <si>
    <t>Arbetskläder och skyddsmaterial</t>
  </si>
  <si>
    <t>Tröja t. aktivitetsansvarig</t>
  </si>
  <si>
    <t>Tröja t. vice aktivitetsansvarig</t>
  </si>
  <si>
    <t>Tröjor t. UtEDischoansvariga</t>
  </si>
  <si>
    <t>Tröja t. karnevalsansvarig</t>
  </si>
  <si>
    <t>Tröjor t. sångarstridsförmän</t>
  </si>
  <si>
    <t>Tröja t. Coach</t>
  </si>
  <si>
    <t>×</t>
  </si>
  <si>
    <t>Tröja t. Idrottsförman</t>
  </si>
  <si>
    <t>Tack</t>
  </si>
  <si>
    <t>Tack t. aktivitetsansvarig</t>
  </si>
  <si>
    <t>Tack t. vice aktivitetsansvarig</t>
  </si>
  <si>
    <t>Tack t. Utedischoansvariga</t>
  </si>
  <si>
    <t>Tack t. karnevalsansvarig</t>
  </si>
  <si>
    <t>Tack t. sångarstridsförmän</t>
  </si>
  <si>
    <t>Tack t. D-sportare</t>
  </si>
  <si>
    <t>Tack t. idrottsförmän</t>
  </si>
  <si>
    <t>Tack t. LAN-partyansvariga</t>
  </si>
  <si>
    <t>Tack t. semesterfirare</t>
  </si>
  <si>
    <t>Tack t. tandemgeneral</t>
  </si>
  <si>
    <t>Tack t. funktionärer</t>
  </si>
  <si>
    <t>Tack t. nöjesförman</t>
  </si>
  <si>
    <t>Tack t. coach</t>
  </si>
  <si>
    <t>D- och E-sektionens kolossala eftersläpp på E-husets parkering.</t>
  </si>
  <si>
    <t>Försäljning inom Sverige</t>
  </si>
  <si>
    <t>Biljetter</t>
  </si>
  <si>
    <t>Märken</t>
  </si>
  <si>
    <t>Biljettförsäljning</t>
  </si>
  <si>
    <t>Inköp av varor från Sverige</t>
  </si>
  <si>
    <t>Arrangemangskostnader</t>
  </si>
  <si>
    <t>Scen och teknik</t>
  </si>
  <si>
    <t>Emballage</t>
  </si>
  <si>
    <t>Dekor</t>
  </si>
  <si>
    <t>Biljettarmband</t>
  </si>
  <si>
    <t>Engångsartiklar</t>
  </si>
  <si>
    <t>Rider</t>
  </si>
  <si>
    <t>Trycksaker</t>
  </si>
  <si>
    <t>Affischer</t>
  </si>
  <si>
    <t>Övriga externa tjänster</t>
  </si>
  <si>
    <t>Sjukvårdare</t>
  </si>
  <si>
    <t>Artist</t>
  </si>
  <si>
    <t>Vakter</t>
  </si>
  <si>
    <t>Ordningsvakter</t>
  </si>
  <si>
    <t>Tillståndsavgifter</t>
  </si>
  <si>
    <t>Alkoholtillstånd</t>
  </si>
  <si>
    <t>Tackfest</t>
  </si>
  <si>
    <t>Mötesdricka</t>
  </si>
  <si>
    <t>Möten</t>
  </si>
  <si>
    <t>Under evenemanget</t>
  </si>
  <si>
    <t>Vinstdelning</t>
  </si>
  <si>
    <t>Delning med E-sektionen</t>
  </si>
  <si>
    <t>Externa evenemang</t>
  </si>
  <si>
    <t>Evenemang som inte primärt anordnas av sektionen, men som den deltar i.</t>
  </si>
  <si>
    <t>Biljetter t. tandemstafetten</t>
  </si>
  <si>
    <t>Bussbiljetter t. DÖMD</t>
  </si>
  <si>
    <t>Biljetter t. DÖMD</t>
  </si>
  <si>
    <t>Tandem</t>
  </si>
  <si>
    <t>Sångarstriden</t>
  </si>
  <si>
    <t>Buss till DÖMD</t>
  </si>
  <si>
    <t>Evenemang</t>
  </si>
  <si>
    <t>Evenemang som aktivitetsutskottet anordnar.</t>
  </si>
  <si>
    <t>Arrangemangskostnader, övrigt</t>
  </si>
  <si>
    <t xml:space="preserve">Kostnader för frilufts- och idrottsarrangemang </t>
  </si>
  <si>
    <t>Veckovis idrott</t>
  </si>
  <si>
    <t>DICK planbokning</t>
  </si>
  <si>
    <t>Korpenavgift</t>
  </si>
  <si>
    <t>Startavgift t. Lundaloppet</t>
  </si>
  <si>
    <t>Övrigt</t>
  </si>
  <si>
    <t>Subventioner</t>
  </si>
  <si>
    <t>DÖMD</t>
  </si>
  <si>
    <t>AktU-veckan</t>
  </si>
  <si>
    <t>Brädfika</t>
  </si>
  <si>
    <t>Inventarie</t>
  </si>
  <si>
    <t>Inventarie för aktivitetsutskottet. T.ex. spel och sportutrustning</t>
  </si>
  <si>
    <t>Förbrukningsinventarie</t>
  </si>
  <si>
    <t>Idrottsutrustning</t>
  </si>
  <si>
    <t>Idrottströjor</t>
  </si>
  <si>
    <t>Konsoller</t>
  </si>
  <si>
    <t>Brädspel</t>
  </si>
  <si>
    <t>Mötesfika, tack, tröjor, jobbarmat och jobbardricka för funktionärer i cafémästeriet.</t>
  </si>
  <si>
    <t>Läsperioder</t>
  </si>
  <si>
    <t>Läsveckor</t>
  </si>
  <si>
    <t>Öppetdagar per vecka</t>
  </si>
  <si>
    <t>Luncher per dag (1 per funkispass och 3 för dagisar)</t>
  </si>
  <si>
    <t>Jobbarmat</t>
  </si>
  <si>
    <t>Tröja t. cafémästare</t>
  </si>
  <si>
    <t>Tröja t. vice cafémästare</t>
  </si>
  <si>
    <t>Tröja t. brunchmästare</t>
  </si>
  <si>
    <t>Tröjor t. dagsansvariga</t>
  </si>
  <si>
    <t>Tröjor t. inventarieansvariga</t>
  </si>
  <si>
    <t>Tack t. cafémästare</t>
  </si>
  <si>
    <t>Tack t. vice cafémästare</t>
  </si>
  <si>
    <t>Tack t. brunchmästare</t>
  </si>
  <si>
    <t>Tack t. dagsansvariga</t>
  </si>
  <si>
    <t>Tack t. inventarieansvariga</t>
  </si>
  <si>
    <t>Tack t. Bakis</t>
  </si>
  <si>
    <t>D-café</t>
  </si>
  <si>
    <t>Kostnader och intäkter för daglig kaféverksamhet.</t>
  </si>
  <si>
    <t>Öppetdagar</t>
  </si>
  <si>
    <t>Dryck om dagen</t>
  </si>
  <si>
    <t>Mackor om dagen</t>
  </si>
  <si>
    <t>Snacks om dagen</t>
  </si>
  <si>
    <t>Försäljning av varor i Sverige</t>
  </si>
  <si>
    <t>Dryck</t>
  </si>
  <si>
    <t>Snacks och godis</t>
  </si>
  <si>
    <t>Hembakat</t>
  </si>
  <si>
    <t>Glass</t>
  </si>
  <si>
    <t>Livsmedel till försäljning</t>
  </si>
  <si>
    <t/>
  </si>
  <si>
    <t>Övriga evenemang</t>
  </si>
  <si>
    <t xml:space="preserve">Övriga evenemang som cafémästeriet håller i. T.ex. bruncher. </t>
  </si>
  <si>
    <t>Mat + evenemangspecifikt</t>
  </si>
  <si>
    <t>Hårdvara</t>
  </si>
  <si>
    <t>CPU-kvällar</t>
  </si>
  <si>
    <t>Programvaror</t>
  </si>
  <si>
    <t>Domäner</t>
  </si>
  <si>
    <t>Apple Developer</t>
  </si>
  <si>
    <t>Expo (appbyggen)</t>
  </si>
  <si>
    <t>Tröja t. Mästare</t>
  </si>
  <si>
    <t>Tröja t. Vice</t>
  </si>
  <si>
    <t>Tröja t. root</t>
  </si>
  <si>
    <t>Tröja t. DWWW-ansvarig</t>
  </si>
  <si>
    <t>Tack t. Mästare</t>
  </si>
  <si>
    <t>Tack t. Vice</t>
  </si>
  <si>
    <t>Tack t. root</t>
  </si>
  <si>
    <t>Tack t. DWWW-ansvarig</t>
  </si>
  <si>
    <t>Tack t. Utvecklare</t>
  </si>
  <si>
    <t>Framtidsutskottets hela budget.</t>
  </si>
  <si>
    <t>Mötesfika/Jobbarmat</t>
  </si>
  <si>
    <t>Mat t. långa möten</t>
  </si>
  <si>
    <t>Evenemang med mat</t>
  </si>
  <si>
    <t>Evenemang med fika</t>
  </si>
  <si>
    <t>Tröja t. framtidsordförande</t>
  </si>
  <si>
    <t>Tröjor t. framtidsledamöter</t>
  </si>
  <si>
    <t>Tack t. framtidsordföranden</t>
  </si>
  <si>
    <t>Tack t. framtidsledamöter</t>
  </si>
  <si>
    <t>Mötesfika, tack och övriga utgifter för informationsutskottet.</t>
  </si>
  <si>
    <t>InfU-kvällsmat och mötesfika</t>
  </si>
  <si>
    <t>Adobe Creative Cloud</t>
  </si>
  <si>
    <t>Canva pro</t>
  </si>
  <si>
    <t>Kameramjukvara</t>
  </si>
  <si>
    <t>Spotify</t>
  </si>
  <si>
    <t>Tröja t. informationsansvarig</t>
  </si>
  <si>
    <t>Tröja t. vice informationsansvarig</t>
  </si>
  <si>
    <t>Tröja t. ShopaholiC</t>
  </si>
  <si>
    <t>Tack t. informationsansvarig</t>
  </si>
  <si>
    <t>Tack t. vice informationsansvarig</t>
  </si>
  <si>
    <t>Tack t. arkivarier</t>
  </si>
  <si>
    <t>Tack t. artister</t>
  </si>
  <si>
    <t>Tack t. filmare</t>
  </si>
  <si>
    <t>Tack t. fotografer</t>
  </si>
  <si>
    <t>Tack t. redaktör</t>
  </si>
  <si>
    <t>Tack t. shopaholic</t>
  </si>
  <si>
    <t>Tack t. märkvärdiga</t>
  </si>
  <si>
    <t>Tack t. skald</t>
  </si>
  <si>
    <t>Tack t. journalist</t>
  </si>
  <si>
    <t>D-shopen</t>
  </si>
  <si>
    <t>Sektionens affär för märken, merch och liknande.</t>
  </si>
  <si>
    <t>Tygmärken</t>
  </si>
  <si>
    <t>Ouveraller</t>
  </si>
  <si>
    <t>Sektionsmerch</t>
  </si>
  <si>
    <t>Sångböcker</t>
  </si>
  <si>
    <t>Adobe creative cloud</t>
  </si>
  <si>
    <t>Mötesfika, tröjor och tack för källarmästeriet.</t>
  </si>
  <si>
    <t>Fixarkvällsmat</t>
  </si>
  <si>
    <t>Snickerboamat</t>
  </si>
  <si>
    <t>Pepparkakshusbyggartävling</t>
  </si>
  <si>
    <t>Tröja t. källarmästare</t>
  </si>
  <si>
    <t>Tröja t. vice källarmästare</t>
  </si>
  <si>
    <t>Tröja t. vice root</t>
  </si>
  <si>
    <t>Tack t. källarmästare</t>
  </si>
  <si>
    <t>Tack t. vice källarmästare</t>
  </si>
  <si>
    <t>Tack t. trädgårdsmästare</t>
  </si>
  <si>
    <t>Tack t. ljud och ljus-ansvariga</t>
  </si>
  <si>
    <t>Tack t. bilansvariga</t>
  </si>
  <si>
    <t>Underhåll av iDét samt inköp av nya inventarier och verktyg.</t>
  </si>
  <si>
    <t>Materialförsäljning</t>
  </si>
  <si>
    <t>Hyresintäkter</t>
  </si>
  <si>
    <t>Uthyrning av inventarier</t>
  </si>
  <si>
    <t>Växter</t>
  </si>
  <si>
    <t>Lokalinventarier</t>
  </si>
  <si>
    <t>Ljud och ljus</t>
  </si>
  <si>
    <t>För materialförsäljning</t>
  </si>
  <si>
    <t>Kioskfärg</t>
  </si>
  <si>
    <t>Medaljelelekommiténs hela budget.</t>
  </si>
  <si>
    <t>Frackband m.m.</t>
  </si>
  <si>
    <t>Medaljer</t>
  </si>
  <si>
    <t>Frackband</t>
  </si>
  <si>
    <t>Tröja t. övermarskalk</t>
  </si>
  <si>
    <t>Tack t. övermarskalk</t>
  </si>
  <si>
    <t>Tack t. medlemmar</t>
  </si>
  <si>
    <t>Mötesfika, tröjor och tack för näringslivsutskottet.</t>
  </si>
  <si>
    <t>Tröja t. näringslivsansvarig</t>
  </si>
  <si>
    <t>Tröja t. vice näringslivsansvarig</t>
  </si>
  <si>
    <t>Tröja t. alumniansvarig</t>
  </si>
  <si>
    <t>Tröja t. mentorsansvarig</t>
  </si>
  <si>
    <t>Redovisningstjänster</t>
  </si>
  <si>
    <t>Fortnox — Offert &amp; Order</t>
  </si>
  <si>
    <t>Tack t. näringslivsansvarig</t>
  </si>
  <si>
    <t>Tack t. vice näringslivsansvarig</t>
  </si>
  <si>
    <t>Tack t. mentorsansvarig</t>
  </si>
  <si>
    <t>Tack t. alumniansvarig</t>
  </si>
  <si>
    <t>Tack t. funktionärer i alumnigruppen</t>
  </si>
  <si>
    <t>Tack t. funktionärer i NärU</t>
  </si>
  <si>
    <t>Spons</t>
  </si>
  <si>
    <t>All sponseringsverksamhet som näringslivsutskottet gör. Värt att nämna är att stabens sponseringsarbete och intäkter för företagspubar också hamnar här.</t>
  </si>
  <si>
    <t>Antal lunchföreläsningar</t>
  </si>
  <si>
    <t>Antal företagspubar</t>
  </si>
  <si>
    <t>Matkostnad per företagspub</t>
  </si>
  <si>
    <t>Matkostnad per lunchföreläsning</t>
  </si>
  <si>
    <t>Dryckkostnad per lunchföreläsning</t>
  </si>
  <si>
    <t xml:space="preserve"> </t>
  </si>
  <si>
    <t>Lunchföreläsningar</t>
  </si>
  <si>
    <t>Lokalbokning</t>
  </si>
  <si>
    <t>Premie</t>
  </si>
  <si>
    <t>Pubar</t>
  </si>
  <si>
    <t>Nollning</t>
  </si>
  <si>
    <t>Tröjspons</t>
  </si>
  <si>
    <t>Chepsspons</t>
  </si>
  <si>
    <t>Ryggsäck sidoplatser</t>
  </si>
  <si>
    <t>Ryggsäck mittplatser</t>
  </si>
  <si>
    <t>Hoodies</t>
  </si>
  <si>
    <t>Merch</t>
  </si>
  <si>
    <t>Monter</t>
  </si>
  <si>
    <t>Marknadsföring</t>
  </si>
  <si>
    <t>Koppar</t>
  </si>
  <si>
    <t>Mat t. lunchföreläsningar</t>
  </si>
  <si>
    <t>Dryck t. lunchföreläsningar</t>
  </si>
  <si>
    <t>Sponsmaterial</t>
  </si>
  <si>
    <t>Ryggsäckar</t>
  </si>
  <si>
    <t>Chepsar</t>
  </si>
  <si>
    <t>Nollningströjor</t>
  </si>
  <si>
    <t>Erhållna rabatter</t>
  </si>
  <si>
    <t>Paketrabatter</t>
  </si>
  <si>
    <t>Lokalhyra</t>
  </si>
  <si>
    <t>Lokalbokning t. lunchföreläsningar</t>
  </si>
  <si>
    <t>Alumnigruppen</t>
  </si>
  <si>
    <t>Alumnigruppens mötesfika och verksamhet.</t>
  </si>
  <si>
    <t>Alumnimiddag el. motsvarande</t>
  </si>
  <si>
    <t>Mötesfika, tröjor och tack för nollningsutskottet.</t>
  </si>
  <si>
    <t>Biljettfösäljning</t>
  </si>
  <si>
    <t>Phadderkickoff</t>
  </si>
  <si>
    <t>Phaddermys</t>
  </si>
  <si>
    <t>Tröja t. Øverphøs</t>
  </si>
  <si>
    <t>Tröjor t. stabsmedlemmar</t>
  </si>
  <si>
    <t>Tröjor t. Øverpeppare</t>
  </si>
  <si>
    <t>Tröjor t. peppare</t>
  </si>
  <si>
    <t>Utstyrsel t. phaddrar</t>
  </si>
  <si>
    <t>Tack t. Øverphøs</t>
  </si>
  <si>
    <t>Tack t. stabsmedlemmar</t>
  </si>
  <si>
    <t>Tack t. Øverpeppare</t>
  </si>
  <si>
    <t>Tack t. peppare</t>
  </si>
  <si>
    <t>Förenat tack</t>
  </si>
  <si>
    <t>Nolletack</t>
  </si>
  <si>
    <t>Material</t>
  </si>
  <si>
    <t>Material till nollningen.</t>
  </si>
  <si>
    <t>Vattenballonger</t>
  </si>
  <si>
    <t>Uppdragsmaterial</t>
  </si>
  <si>
    <t>Plankor m.m.</t>
  </si>
  <si>
    <t>Cheeroutfits</t>
  </si>
  <si>
    <t>Stass</t>
  </si>
  <si>
    <t>Väggschema</t>
  </si>
  <si>
    <t>Pepparna</t>
  </si>
  <si>
    <t>Pepparnas utstyrslar och evenemang.</t>
  </si>
  <si>
    <t>Utstyrslar</t>
  </si>
  <si>
    <t>Peppevenemang</t>
  </si>
  <si>
    <t>Evenemang under nollningen.</t>
  </si>
  <si>
    <t>FlyING och INGvasion</t>
  </si>
  <si>
    <t>Phaddersittning</t>
  </si>
  <si>
    <t>Nationssittning</t>
  </si>
  <si>
    <t>Teknologkårsmössor</t>
  </si>
  <si>
    <t>Subventionering</t>
  </si>
  <si>
    <t>Stabens sittningsbiljetter</t>
  </si>
  <si>
    <t>Saker som gäller alla funktionärer men som inte är tack.</t>
  </si>
  <si>
    <t>Utlottningar och tävlingar</t>
  </si>
  <si>
    <t>Pris t. D-Compassen</t>
  </si>
  <si>
    <t>Reklam och PR</t>
  </si>
  <si>
    <t>Utbildning</t>
  </si>
  <si>
    <t>Funktionärsutbildning</t>
  </si>
  <si>
    <t>Rekrytering</t>
  </si>
  <si>
    <t>Sektionspub eller liknande</t>
  </si>
  <si>
    <t>Disponibelt</t>
  </si>
  <si>
    <t>Sektionsmöte</t>
  </si>
  <si>
    <t>Arrangering av sektionsmöten, sektionens högst beslutande organ. Mellan 4 och 5 brukar arrangeras årligen.</t>
  </si>
  <si>
    <t>Bolagsstämma/års- eller föreningsstämma</t>
  </si>
  <si>
    <t xml:space="preserve">Tack för alla sektionens funktionärer samt tack och tröjor till förtroendevalda utan utskott. </t>
  </si>
  <si>
    <t>Kvarvarande jubileumsmedaljer</t>
  </si>
  <si>
    <t>Tröjor t. revisorer</t>
  </si>
  <si>
    <t>Tröja t. talman</t>
  </si>
  <si>
    <t>Tack t. revisorer</t>
  </si>
  <si>
    <t>Tack t. talman</t>
  </si>
  <si>
    <t>Tack t. inspektorn</t>
  </si>
  <si>
    <t>Gemensamma kostnader</t>
  </si>
  <si>
    <t>Kostnader som går ut över alla sektionens utskott.</t>
  </si>
  <si>
    <t>Förbrukningsmaterial</t>
  </si>
  <si>
    <t>Toner</t>
  </si>
  <si>
    <t>Rengöringsartiklar osv.</t>
  </si>
  <si>
    <t>Underhåll och tvätt av arbetskläder</t>
  </si>
  <si>
    <t>Tvätt av jobbarkläder</t>
  </si>
  <si>
    <t>Drivmedel för personbilar</t>
  </si>
  <si>
    <t>Bensin t. sektionsbilen</t>
  </si>
  <si>
    <t>Försäkring och skatt för personbilar</t>
  </si>
  <si>
    <t>Skadeförsäkring f. sektionsbilen</t>
  </si>
  <si>
    <t>Fordonsskatt f. sektionsbilen</t>
  </si>
  <si>
    <t>Övriga personbilskostnader</t>
  </si>
  <si>
    <t>Ny bil</t>
  </si>
  <si>
    <t>Parkering vid LTH</t>
  </si>
  <si>
    <t>Parkering på andra platser</t>
  </si>
  <si>
    <t>Besiktning</t>
  </si>
  <si>
    <t>Representation</t>
  </si>
  <si>
    <t>Gåvor t. sektioner, kransar t. begravningar, osv.</t>
  </si>
  <si>
    <t>Tidningen</t>
  </si>
  <si>
    <t>CostCo medlemsavgift</t>
  </si>
  <si>
    <t>Ersättningsutbildning C-cert</t>
  </si>
  <si>
    <t>Administration</t>
  </si>
  <si>
    <t>Administrativa kostnader och intäkter.</t>
  </si>
  <si>
    <t>Bidrag</t>
  </si>
  <si>
    <t>Sektionsbidrag</t>
  </si>
  <si>
    <t>Myndighetsavgifter</t>
  </si>
  <si>
    <t>Stadigvarande tillstånd</t>
  </si>
  <si>
    <t>PBI-avgift</t>
  </si>
  <si>
    <t>Livsmedelinspektion</t>
  </si>
  <si>
    <t>Jobbardricka</t>
  </si>
  <si>
    <t>Kaffe, te, choklad och läsk åt funktionärer.</t>
  </si>
  <si>
    <t>Kaffe, te, mjölk och choklad</t>
  </si>
  <si>
    <t>Kaffe, te, choklad</t>
  </si>
  <si>
    <t>Aktivitetutskottet</t>
  </si>
  <si>
    <t>Styrelsen diskussionsmöten</t>
  </si>
  <si>
    <t>Styrelsemöten</t>
  </si>
  <si>
    <t>Sektionsmöten</t>
  </si>
  <si>
    <t>Medaljelele</t>
  </si>
  <si>
    <t>Fonder</t>
  </si>
  <si>
    <t>Påfyllning av fonder. För mer detaljer, se policy för fonder.</t>
  </si>
  <si>
    <t>Avsättning t. fonder</t>
  </si>
  <si>
    <t>Inventariefonden</t>
  </si>
  <si>
    <t>Bilfonden</t>
  </si>
  <si>
    <t>Projektfonden</t>
  </si>
  <si>
    <t>Medaljfonden</t>
  </si>
  <si>
    <t>Jubileumsfonden</t>
  </si>
  <si>
    <t>Mötesfika, tröjor och tack för sexmästeriet.</t>
  </si>
  <si>
    <t>Kockkläder t. köket</t>
  </si>
  <si>
    <t>Kockkläder t. sektionskockar</t>
  </si>
  <si>
    <t>Jacka t. sexmästare</t>
  </si>
  <si>
    <t>Jacka t. vice sexmästare</t>
  </si>
  <si>
    <t>Jacka t. barmästare</t>
  </si>
  <si>
    <t>Jacka t. hovmästare</t>
  </si>
  <si>
    <t>Jacka t. köksmästare</t>
  </si>
  <si>
    <t>Jacka t. pubmästare</t>
  </si>
  <si>
    <t>Jackor t. vice barmästare</t>
  </si>
  <si>
    <t>Jackor t. sångförmän</t>
  </si>
  <si>
    <t>Jackor t. vice pubmästare</t>
  </si>
  <si>
    <t>Jackor t. vice köksmästare</t>
  </si>
  <si>
    <t>Jacka t. preferensmästare</t>
  </si>
  <si>
    <t>Övriga externa tjänster (gruppkonto)</t>
  </si>
  <si>
    <t>Knivbrev</t>
  </si>
  <si>
    <t>Tack t. Precidie</t>
  </si>
  <si>
    <t>Tack t. Köksmästeriet</t>
  </si>
  <si>
    <t>Tack t. Barmästeriet</t>
  </si>
  <si>
    <t>Tack t. Pubmästeriet</t>
  </si>
  <si>
    <t>Tack t. Hovmästeriet</t>
  </si>
  <si>
    <t>Tack t. Vinförmän</t>
  </si>
  <si>
    <t>Tack t. Ölförmännen</t>
  </si>
  <si>
    <t>Tack t. TappaD</t>
  </si>
  <si>
    <t>Tack t. Sektionskock</t>
  </si>
  <si>
    <t>Sextack</t>
  </si>
  <si>
    <t>Sittningar</t>
  </si>
  <si>
    <t>Sexmästeriets sittningar och eftersläpp, exklusive UtEDischot.</t>
  </si>
  <si>
    <t>Försäljning i Sverige</t>
  </si>
  <si>
    <t>Alkoholfritt</t>
  </si>
  <si>
    <t>Livsmedelsförsäljning</t>
  </si>
  <si>
    <t>Mat på eftersläpp</t>
  </si>
  <si>
    <t>3011-3014</t>
  </si>
  <si>
    <t>Alkoholförsäljning</t>
  </si>
  <si>
    <t>Öl</t>
  </si>
  <si>
    <t>Övrig jäst dryck</t>
  </si>
  <si>
    <t>Spritdryck</t>
  </si>
  <si>
    <t>T. sittningar och eftersläpp</t>
  </si>
  <si>
    <t>Inbakad märkeskostnad</t>
  </si>
  <si>
    <t>4011-4014</t>
  </si>
  <si>
    <t>Alkoholkostnader</t>
  </si>
  <si>
    <t>Groggvirke</t>
  </si>
  <si>
    <t>Hyra</t>
  </si>
  <si>
    <t>Dekorationer</t>
  </si>
  <si>
    <t xml:space="preserve">  SEX03</t>
  </si>
  <si>
    <t>Sexmästeriets pubar, exklusive företagspubar.</t>
  </si>
  <si>
    <t>Pubar inte i iDét</t>
  </si>
  <si>
    <t>Företagspubar</t>
  </si>
  <si>
    <t>+</t>
  </si>
  <si>
    <t>Nollegasque</t>
  </si>
  <si>
    <t>Nollegasquen.</t>
  </si>
  <si>
    <t>Ungefärligt antal gäster</t>
  </si>
  <si>
    <t>Till gasquen</t>
  </si>
  <si>
    <t>Till fyrverkerier</t>
  </si>
  <si>
    <t>Fyrverkerier (Lundapyrot)</t>
  </si>
  <si>
    <t xml:space="preserve">                           </t>
  </si>
  <si>
    <t>Skiphtesgasque</t>
  </si>
  <si>
    <t>Skiphtesgasquen.</t>
  </si>
  <si>
    <t>Till alumner</t>
  </si>
  <si>
    <t>Eftersläppsbiljett</t>
  </si>
  <si>
    <t>Alkoholförsäljning under UtEDischot.</t>
  </si>
  <si>
    <t>Mötesfika, tack och tröjor för skattmästeriet.</t>
  </si>
  <si>
    <t>Tröja t. skattmästare</t>
  </si>
  <si>
    <t>Tröja t. vice skattmästare</t>
  </si>
  <si>
    <t>Tröjor t. skattförmän</t>
  </si>
  <si>
    <t>Tack t. skattmästare</t>
  </si>
  <si>
    <t>Tack t. vice skattmästare</t>
  </si>
  <si>
    <t>Tack t. skattförmän</t>
  </si>
  <si>
    <t>Avgifter</t>
  </si>
  <si>
    <t>Administrativa avgifter för ekonomihantering.</t>
  </si>
  <si>
    <t>Övriga ersättningar, bidrag och intäkter</t>
  </si>
  <si>
    <t>Fortnoxbidrag</t>
  </si>
  <si>
    <t>Övriga kostnader</t>
  </si>
  <si>
    <t>Post</t>
  </si>
  <si>
    <t>Porto</t>
  </si>
  <si>
    <t>IT-tjänster</t>
  </si>
  <si>
    <t>Swishavgifter</t>
  </si>
  <si>
    <t>Zettleavgifter</t>
  </si>
  <si>
    <t>FLYTTA TILL 6570</t>
  </si>
  <si>
    <t>Orbiavgifter</t>
  </si>
  <si>
    <t>Bankkostnader</t>
  </si>
  <si>
    <t>Bankkonto</t>
  </si>
  <si>
    <t>Sektionskort</t>
  </si>
  <si>
    <t>Fortnoxavgifter</t>
  </si>
  <si>
    <t>Dröjsmålsräntor för leverantörsskulder</t>
  </si>
  <si>
    <t>Sena betalningar av fakturor</t>
  </si>
  <si>
    <t>Mötesfika, tack och tröjor samt övriga utgifter för SRD.</t>
  </si>
  <si>
    <t>Civilingenjörsprogram</t>
  </si>
  <si>
    <t>Masterprogram</t>
  </si>
  <si>
    <t>Cafébiljetter för CEQ-möten</t>
  </si>
  <si>
    <t>CEQ-utlottningar</t>
  </si>
  <si>
    <t>Kuvert och frimärken</t>
  </si>
  <si>
    <t>Tröja t. SRD-ordföranden</t>
  </si>
  <si>
    <t>Tröja t. vice SRD-ordföranden</t>
  </si>
  <si>
    <t>Tröja t. SRD-sekreteraren</t>
  </si>
  <si>
    <t>Tröjor t. årskursreppar år 1-3</t>
  </si>
  <si>
    <t>Tröjor t. årskursreppar för masterprogram</t>
  </si>
  <si>
    <t>Tack t. SRD-ordförande</t>
  </si>
  <si>
    <t>Tack t. vice SRD-ordförande</t>
  </si>
  <si>
    <t>Tack t. SRD-sekreterare</t>
  </si>
  <si>
    <t>Tack t. årskursreppar år 1-3</t>
  </si>
  <si>
    <t>Tack t. årskursreppar för masterprogram</t>
  </si>
  <si>
    <t>Tack t. instutionsledningsreppar</t>
  </si>
  <si>
    <t>Aktiviteter</t>
  </si>
  <si>
    <t>Aktiviteter som SRD håller i. T.ex. pluggkvällar och utdelning av DuCtig.</t>
  </si>
  <si>
    <t>Bidrag f. kursutvärderingar</t>
  </si>
  <si>
    <t>Informationsspridning</t>
  </si>
  <si>
    <t>Pluggkvällar, nollning</t>
  </si>
  <si>
    <t>Pluggkvällar, övriga</t>
  </si>
  <si>
    <t>Utlottningar, priser och tävlingar</t>
  </si>
  <si>
    <t>DuCtig, gyllene pekpinnen</t>
  </si>
  <si>
    <t>Mötesmat, skiphte, tröjor och representation för styrelsen.</t>
  </si>
  <si>
    <t>Mat t. propositionsmöten</t>
  </si>
  <si>
    <t>Mat t. budgetmöte</t>
  </si>
  <si>
    <t>Tröjor</t>
  </si>
  <si>
    <t>D-forums anordningskostnad</t>
  </si>
  <si>
    <t>Resa och boende till D-forum</t>
  </si>
  <si>
    <t>Styrelseskiphte</t>
  </si>
  <si>
    <t>Tack t. sektionsordförande</t>
  </si>
  <si>
    <t>Tack t. vice sektionsordförande</t>
  </si>
  <si>
    <t>Sommar</t>
  </si>
  <si>
    <t>Tackmästeriets hela budget.</t>
  </si>
  <si>
    <t>Tröja t. tackmästare</t>
  </si>
  <si>
    <t>Tack t. tackmästare</t>
  </si>
  <si>
    <t>Tack t. tackmästerist</t>
  </si>
  <si>
    <t>Sommartack</t>
  </si>
  <si>
    <t>Vinter</t>
  </si>
  <si>
    <t>Vintertack</t>
  </si>
  <si>
    <t>Mötesfika, tack enligt policy samt övriga utgifter för skattmästeriet.</t>
  </si>
  <si>
    <t>Namnbrickor till jobbare</t>
  </si>
  <si>
    <t>Lunch</t>
  </si>
  <si>
    <t>Lounge och frukost</t>
  </si>
  <si>
    <t>Pizza till jobbare innan mässan</t>
  </si>
  <si>
    <t>Projektgruppstack</t>
  </si>
  <si>
    <t>Funktionärstack</t>
  </si>
  <si>
    <t>Evenemang under Teknikfokusveckan. T.ex. lunchföreläsningar och banketten.</t>
  </si>
  <si>
    <t>Servispersonal</t>
  </si>
  <si>
    <t>st</t>
  </si>
  <si>
    <t>Antal gäster</t>
  </si>
  <si>
    <t>Bankett m. KULA</t>
  </si>
  <si>
    <t>Mat t. nattvakter</t>
  </si>
  <si>
    <t>Bankett</t>
  </si>
  <si>
    <t>Serviskostnad</t>
  </si>
  <si>
    <t>Hovmästare</t>
  </si>
  <si>
    <t>Ljudsystem</t>
  </si>
  <si>
    <t>Kylar</t>
  </si>
  <si>
    <t>Porslin</t>
  </si>
  <si>
    <t>Mässans marknadsföring; både till funktionärer och besökare.</t>
  </si>
  <si>
    <t>Utlottningar</t>
  </si>
  <si>
    <t>Annonser</t>
  </si>
  <si>
    <t>Z-foldbroschyrer</t>
  </si>
  <si>
    <t>Kaffe, godis</t>
  </si>
  <si>
    <t>Flaggor osv.</t>
  </si>
  <si>
    <t>Klistermärken</t>
  </si>
  <si>
    <t>Logistik</t>
  </si>
  <si>
    <t>Arrangemangskostnader för själva mässan.</t>
  </si>
  <si>
    <t>Lokaler</t>
  </si>
  <si>
    <t>Gasquesalen</t>
  </si>
  <si>
    <t>Möbler ej för företag</t>
  </si>
  <si>
    <t>Loungemöbler</t>
  </si>
  <si>
    <t>Andra möbler</t>
  </si>
  <si>
    <t>Matta</t>
  </si>
  <si>
    <t>Matttejp</t>
  </si>
  <si>
    <t>Garderob</t>
  </si>
  <si>
    <t>Garderobsställningar</t>
  </si>
  <si>
    <t>Galgar</t>
  </si>
  <si>
    <t>El och internet</t>
  </si>
  <si>
    <t>Shuttle service</t>
  </si>
  <si>
    <t>Parkeringsbiljetter</t>
  </si>
  <si>
    <t>Försäljning</t>
  </si>
  <si>
    <t>Försäljning av företagsplatser och kontaktsamtal. Observera att försäljning av lunchföreläsningar ligger i TEK02.</t>
  </si>
  <si>
    <t>Vinst-delning med E-sek</t>
  </si>
  <si>
    <t>Endagspaket</t>
  </si>
  <si>
    <t>Tvådagspaket</t>
  </si>
  <si>
    <t>Kontaktsamtal 1-dags</t>
  </si>
  <si>
    <t>Kontaktsamtal 2-dags</t>
  </si>
  <si>
    <t>Extra lunchbiljetter</t>
  </si>
  <si>
    <t>Extra parkeringsbiljetter</t>
  </si>
  <si>
    <t>Extra bankettbiljetter</t>
  </si>
  <si>
    <t>Möbler</t>
  </si>
  <si>
    <t>Specialrabatter</t>
  </si>
  <si>
    <t>Hyra av inventarier och verktyg</t>
  </si>
  <si>
    <t>Höst</t>
  </si>
  <si>
    <t>Uppstartskostnader för Teknikfokus under hösten.</t>
  </si>
  <si>
    <t>Saker till funktionärer</t>
  </si>
  <si>
    <t>Tygmärken (funkis + special)</t>
  </si>
  <si>
    <t>Vattenflaskor</t>
  </si>
  <si>
    <t>Tygkassar</t>
  </si>
  <si>
    <t>Julmys för funktionärer</t>
  </si>
  <si>
    <t>Batterier till laserdomepistoler</t>
  </si>
  <si>
    <t>CRM-system</t>
  </si>
  <si>
    <t>Holdover för Salesforce</t>
  </si>
  <si>
    <t>Tröjor t. projektgruppen</t>
  </si>
  <si>
    <t>Visitkort</t>
  </si>
  <si>
    <t>Kaffe och godis</t>
  </si>
  <si>
    <t>Kick-off för projektgruppen</t>
  </si>
  <si>
    <t>Trivselrådets hela budget.</t>
  </si>
  <si>
    <t>Mat t. kvällsmöte</t>
  </si>
  <si>
    <t>Tröja t. trivselmästare</t>
  </si>
  <si>
    <t>Tröjor t. likabehandlingsombud</t>
  </si>
  <si>
    <t>Tröja t. världsmästare</t>
  </si>
  <si>
    <t>Tröja t. skyddsombud</t>
  </si>
  <si>
    <t>Tack t. trivselmästaren</t>
  </si>
  <si>
    <t>Tack t. likabehandlingsombud</t>
  </si>
  <si>
    <t>Tack t. världsmästaren</t>
  </si>
  <si>
    <t>Tack t. skyddsombudet</t>
  </si>
  <si>
    <t>Valberedningens hela budget.</t>
  </si>
  <si>
    <t>Tröja t. valberedningsordförand</t>
  </si>
  <si>
    <t>Tröjor t. valberedningrepresentanter</t>
  </si>
  <si>
    <t>Tack t. valberedningsordförande</t>
  </si>
  <si>
    <t>Tack t. valberedningrepresentanter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</si>
</sst>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kr]"/>
    <numFmt numFmtId="165" formatCode="#,##0.00[$ kr]"/>
    <numFmt numFmtId="166" formatCode="#,##0.00&quot;kr&quot;"/>
    <numFmt numFmtId="167" formatCode="#,##0.00\ [$kr-41D]"/>
  </numFmts>
  <fonts count="22">
    <font>
      <sz val="10.0"/>
      <color rgb="FF000000"/>
      <name val="Roboto"/>
      <scheme val="minor"/>
    </font>
    <font>
      <b/>
      <sz val="14.0"/>
      <color theme="1"/>
      <name val="Roboto"/>
    </font>
    <font>
      <color theme="1"/>
      <name val="Roboto"/>
    </font>
    <font>
      <sz val="12.0"/>
      <color theme="1"/>
      <name val="Roboto"/>
    </font>
    <font>
      <b/>
      <color theme="1"/>
      <name val="Roboto"/>
    </font>
    <font>
      <b/>
      <sz val="16.0"/>
      <color theme="1"/>
      <name val="Roboto"/>
    </font>
    <font>
      <b/>
      <sz val="12.0"/>
      <color theme="1"/>
      <name val="Roboto"/>
    </font>
    <font>
      <color rgb="FF242729"/>
      <name val="Roboto"/>
    </font>
    <font/>
    <font>
      <b/>
      <sz val="17.0"/>
      <color theme="1"/>
      <name val="Roboto"/>
    </font>
    <font>
      <i/>
      <color theme="1"/>
      <name val="Roboto"/>
    </font>
    <font>
      <color theme="1"/>
      <name val="Arial"/>
    </font>
    <font>
      <color theme="1"/>
      <name val="Roboto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</font>
    <font>
      <b/>
      <color rgb="FFFFFFFF"/>
      <name val="Roboto"/>
    </font>
    <font>
      <sz val="10.0"/>
      <color rgb="FF000000"/>
      <name val="Roboto"/>
    </font>
    <font>
      <i/>
      <u/>
      <color theme="1"/>
      <name val="Roboto"/>
    </font>
    <font>
      <i/>
      <u/>
      <color theme="1"/>
      <name val="Roboto"/>
    </font>
    <font>
      <b/>
      <color theme="1"/>
      <name val="Roboto"/>
      <scheme val="minor"/>
    </font>
    <font>
      <u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FE6DD"/>
        <bgColor rgb="FFFFE6DD"/>
      </patternFill>
    </fill>
    <fill>
      <patternFill patternType="solid">
        <fgColor rgb="FFFFFF00"/>
        <bgColor rgb="FFFFFF0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center" vertical="bottom"/>
    </xf>
    <xf borderId="0" fillId="0" fontId="6" numFmtId="165" xfId="0" applyAlignment="1" applyFont="1" applyNumberFormat="1">
      <alignment vertical="center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0" fontId="2" numFmtId="165" xfId="0" applyFont="1" applyNumberFormat="1"/>
    <xf borderId="0" fillId="0" fontId="4" numFmtId="165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2" fontId="7" numFmtId="165" xfId="0" applyAlignment="1" applyFill="1" applyFont="1" applyNumberFormat="1">
      <alignment horizontal="right" vertical="bottom"/>
    </xf>
    <xf borderId="0" fillId="0" fontId="4" numFmtId="165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165" xfId="0" applyAlignment="1" applyFont="1" applyNumberFormat="1">
      <alignment horizontal="left" vertical="bottom"/>
    </xf>
    <xf borderId="0" fillId="0" fontId="2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" fillId="0" fontId="6" numFmtId="49" xfId="0" applyAlignment="1" applyBorder="1" applyFont="1" applyNumberFormat="1">
      <alignment horizontal="center" vertical="bottom"/>
    </xf>
    <xf borderId="1" fillId="0" fontId="8" numFmtId="0" xfId="0" applyBorder="1" applyFont="1"/>
    <xf borderId="1" fillId="0" fontId="2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2" numFmtId="0" xfId="0" applyBorder="1" applyFont="1"/>
    <xf borderId="0" fillId="0" fontId="6" numFmtId="49" xfId="0" applyAlignment="1" applyFont="1" applyNumberFormat="1">
      <alignment horizontal="center" vertical="bottom"/>
    </xf>
    <xf borderId="0" fillId="3" fontId="2" numFmtId="165" xfId="0" applyAlignment="1" applyFill="1" applyFont="1" applyNumberFormat="1">
      <alignment horizontal="right" vertical="bottom"/>
    </xf>
    <xf borderId="1" fillId="3" fontId="4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vertical="bottom"/>
    </xf>
    <xf borderId="0" fillId="0" fontId="2" numFmtId="0" xfId="0" applyFont="1"/>
    <xf borderId="0" fillId="4" fontId="4" numFmtId="0" xfId="0" applyAlignment="1" applyFill="1" applyFont="1">
      <alignment readingOrder="0" vertical="bottom"/>
    </xf>
    <xf borderId="0" fillId="4" fontId="11" numFmtId="0" xfId="0" applyAlignment="1" applyFont="1">
      <alignment vertical="bottom"/>
    </xf>
    <xf borderId="0" fillId="4" fontId="4" numFmtId="49" xfId="0" applyAlignment="1" applyFont="1" applyNumberFormat="1">
      <alignment horizontal="right" readingOrder="0"/>
    </xf>
    <xf borderId="0" fillId="4" fontId="4" numFmtId="0" xfId="0" applyFont="1"/>
    <xf borderId="0" fillId="4" fontId="4" numFmtId="49" xfId="0" applyAlignment="1" applyFont="1" applyNumberFormat="1">
      <alignment readingOrder="0"/>
    </xf>
    <xf borderId="0" fillId="2" fontId="2" numFmtId="0" xfId="0" applyFont="1"/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readingOrder="0"/>
    </xf>
    <xf borderId="0" fillId="0" fontId="4" numFmtId="0" xfId="0" applyFont="1"/>
    <xf borderId="0" fillId="0" fontId="4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165" xfId="0" applyFont="1" applyNumberFormat="1"/>
    <xf borderId="0" fillId="2" fontId="4" numFmtId="0" xfId="0" applyFont="1"/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2" numFmtId="165" xfId="0" applyAlignment="1" applyFont="1" applyNumberFormat="1">
      <alignment vertical="bottom"/>
    </xf>
    <xf borderId="0" fillId="2" fontId="4" numFmtId="0" xfId="0" applyAlignment="1" applyFont="1">
      <alignment readingOrder="0"/>
    </xf>
    <xf borderId="0" fillId="0" fontId="12" numFmtId="167" xfId="0" applyFont="1" applyNumberFormat="1"/>
    <xf borderId="0" fillId="0" fontId="12" numFmtId="10" xfId="0" applyFont="1" applyNumberFormat="1"/>
    <xf borderId="0" fillId="2" fontId="13" numFmtId="0" xfId="0" applyFont="1"/>
    <xf borderId="0" fillId="2" fontId="13" numFmtId="0" xfId="0" applyAlignment="1" applyFont="1">
      <alignment readingOrder="0"/>
    </xf>
    <xf borderId="0" fillId="2" fontId="13" numFmtId="10" xfId="0" applyFont="1" applyNumberFormat="1"/>
    <xf borderId="0" fillId="0" fontId="4" numFmtId="0" xfId="0" applyAlignment="1" applyFont="1">
      <alignment readingOrder="0"/>
    </xf>
    <xf borderId="0" fillId="0" fontId="12" numFmtId="165" xfId="0" applyFont="1" applyNumberFormat="1"/>
    <xf borderId="0" fillId="0" fontId="4" numFmtId="165" xfId="0" applyFont="1" applyNumberFormat="1"/>
    <xf borderId="0" fillId="2" fontId="14" numFmtId="0" xfId="0" applyFont="1"/>
    <xf borderId="0" fillId="0" fontId="15" numFmtId="167" xfId="0" applyAlignment="1" applyFont="1" applyNumberFormat="1">
      <alignment readingOrder="0"/>
    </xf>
    <xf borderId="0" fillId="0" fontId="2" numFmtId="167" xfId="0" applyFont="1" applyNumberFormat="1"/>
    <xf borderId="0" fillId="0" fontId="10" numFmtId="0" xfId="0" applyAlignment="1" applyFont="1">
      <alignment shrinkToFit="0" vertical="top" wrapText="1"/>
    </xf>
    <xf borderId="0" fillId="4" fontId="4" numFmtId="0" xfId="0" applyAlignment="1" applyFont="1">
      <alignment vertical="bottom"/>
    </xf>
    <xf borderId="0" fillId="4" fontId="2" numFmtId="0" xfId="0" applyFont="1"/>
    <xf borderId="0" fillId="5" fontId="16" numFmtId="0" xfId="0" applyAlignment="1" applyFill="1" applyFont="1">
      <alignment horizontal="center"/>
    </xf>
    <xf borderId="1" fillId="0" fontId="4" numFmtId="0" xfId="0" applyBorder="1" applyFont="1"/>
    <xf borderId="1" fillId="0" fontId="4" numFmtId="165" xfId="0" applyBorder="1" applyFont="1" applyNumberFormat="1"/>
    <xf borderId="1" fillId="0" fontId="2" numFmtId="165" xfId="0" applyBorder="1" applyFont="1" applyNumberFormat="1"/>
    <xf quotePrefix="1" borderId="0" fillId="0" fontId="2" numFmtId="0" xfId="0" applyFont="1"/>
    <xf borderId="0" fillId="0" fontId="2" numFmtId="165" xfId="0" applyAlignment="1" applyFont="1" applyNumberFormat="1">
      <alignment horizontal="right"/>
    </xf>
    <xf borderId="1" fillId="0" fontId="4" numFmtId="165" xfId="0" applyAlignment="1" applyBorder="1" applyFont="1" applyNumberFormat="1">
      <alignment horizontal="right"/>
    </xf>
    <xf borderId="0" fillId="5" fontId="16" numFmtId="0" xfId="0" applyAlignment="1" applyFont="1">
      <alignment horizontal="center" readingOrder="0"/>
    </xf>
    <xf borderId="0" fillId="0" fontId="2" numFmtId="165" xfId="0" applyAlignment="1" applyFont="1" applyNumberFormat="1">
      <alignment horizontal="right" readingOrder="0"/>
    </xf>
    <xf borderId="0" fillId="4" fontId="4" numFmtId="165" xfId="0" applyAlignment="1" applyFont="1" applyNumberFormat="1">
      <alignment horizontal="right"/>
    </xf>
    <xf borderId="0" fillId="0" fontId="2" numFmtId="167" xfId="0" applyFont="1" applyNumberFormat="1"/>
    <xf borderId="0" fillId="2" fontId="2" numFmtId="165" xfId="0" applyFont="1" applyNumberFormat="1"/>
    <xf borderId="0" fillId="0" fontId="4" numFmtId="165" xfId="0" applyAlignment="1" applyFont="1" applyNumberFormat="1">
      <alignment horizontal="right"/>
    </xf>
    <xf borderId="0" fillId="4" fontId="4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" fontId="17" numFmtId="165" xfId="0" applyFont="1" applyNumberFormat="1"/>
    <xf borderId="0" fillId="6" fontId="16" numFmtId="0" xfId="0" applyAlignment="1" applyFill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165" xfId="0" applyAlignment="1" applyBorder="1" applyFont="1" applyNumberFormat="1">
      <alignment horizontal="right" vertical="bottom"/>
    </xf>
    <xf borderId="0" fillId="2" fontId="2" numFmtId="0" xfId="0" applyAlignment="1" applyFont="1">
      <alignment vertical="bottom"/>
    </xf>
    <xf borderId="2" fillId="0" fontId="2" numFmtId="0" xfId="0" applyBorder="1" applyFont="1"/>
    <xf borderId="2" fillId="0" fontId="2" numFmtId="165" xfId="0" applyBorder="1" applyFont="1" applyNumberFormat="1"/>
    <xf borderId="0" fillId="4" fontId="4" numFmtId="49" xfId="0" applyFont="1" applyNumberFormat="1"/>
    <xf borderId="0" fillId="0" fontId="18" numFmtId="0" xfId="0" applyFont="1"/>
    <xf borderId="0" fillId="0" fontId="19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6" fontId="16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0" fillId="0" fontId="4" numFmtId="0" xfId="0" applyAlignment="1" applyFont="1">
      <alignment readingOrder="0"/>
    </xf>
    <xf borderId="0" fillId="4" fontId="4" numFmtId="49" xfId="0" applyAlignment="1" applyFont="1" applyNumberFormat="1">
      <alignment horizontal="right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4" numFmtId="167" xfId="0" applyAlignment="1" applyBorder="1" applyFont="1" applyNumberFormat="1">
      <alignment readingOrder="0"/>
    </xf>
    <xf borderId="0" fillId="4" fontId="4" numFmtId="167" xfId="0" applyAlignment="1" applyFont="1" applyNumberFormat="1">
      <alignment readingOrder="0"/>
    </xf>
    <xf borderId="0" fillId="2" fontId="11" numFmtId="167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2" fontId="4" numFmtId="165" xfId="0" applyFont="1" applyNumberFormat="1"/>
    <xf borderId="0" fillId="0" fontId="4" numFmtId="0" xfId="0" applyAlignment="1" applyFont="1">
      <alignment vertical="top"/>
    </xf>
    <xf borderId="0" fillId="0" fontId="2" numFmtId="10" xfId="0" applyFont="1" applyNumberFormat="1"/>
    <xf borderId="0" fillId="0" fontId="12" numFmtId="0" xfId="0" applyAlignment="1" applyFont="1">
      <alignment readingOrder="0"/>
    </xf>
    <xf borderId="0" fillId="0" fontId="10" numFmtId="0" xfId="0" applyFont="1"/>
    <xf borderId="1" fillId="0" fontId="4" numFmtId="165" xfId="0" applyAlignment="1" applyBorder="1" applyFont="1" applyNumberFormat="1">
      <alignment readingOrder="0"/>
    </xf>
    <xf borderId="0" fillId="0" fontId="20" numFmtId="0" xfId="0" applyAlignment="1" applyFont="1">
      <alignment readingOrder="0"/>
    </xf>
    <xf quotePrefix="1" borderId="1" fillId="0" fontId="4" numFmtId="0" xfId="0" applyBorder="1" applyFont="1"/>
    <xf borderId="0" fillId="0" fontId="9" numFmtId="0" xfId="0" applyAlignment="1" applyFont="1">
      <alignment readingOrder="0"/>
    </xf>
    <xf quotePrefix="1" borderId="0" fillId="0" fontId="12" numFmtId="0" xfId="0" applyAlignment="1" applyFont="1">
      <alignment readingOrder="0"/>
    </xf>
    <xf borderId="0" fillId="8" fontId="2" numFmtId="165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0" fillId="8" fontId="4" numFmtId="0" xfId="0" applyFont="1"/>
    <xf borderId="0" fillId="8" fontId="2" numFmtId="0" xfId="0" applyFont="1"/>
    <xf borderId="0" fillId="8" fontId="2" numFmtId="165" xfId="0" applyFont="1" applyNumberFormat="1"/>
    <xf borderId="0" fillId="8" fontId="2" numFmtId="0" xfId="0" applyAlignment="1" applyFont="1">
      <alignment readingOrder="0"/>
    </xf>
    <xf quotePrefix="1" borderId="0" fillId="8" fontId="2" numFmtId="0" xfId="0" applyAlignment="1" applyFont="1">
      <alignment readingOrder="0"/>
    </xf>
    <xf borderId="1" fillId="8" fontId="4" numFmtId="0" xfId="0" applyBorder="1" applyFont="1"/>
    <xf borderId="1" fillId="8" fontId="2" numFmtId="0" xfId="0" applyBorder="1" applyFont="1"/>
    <xf borderId="1" fillId="8" fontId="4" numFmtId="165" xfId="0" applyBorder="1" applyFont="1" applyNumberFormat="1"/>
    <xf borderId="0" fillId="3" fontId="4" numFmtId="165" xfId="0" applyAlignment="1" applyFont="1" applyNumberFormat="1">
      <alignment horizontal="right" vertical="bottom"/>
    </xf>
    <xf borderId="0" fillId="4" fontId="4" numFmtId="165" xfId="0" applyAlignment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21" numFmtId="0" xfId="0" applyFont="1"/>
    <xf borderId="0" fillId="4" fontId="2" numFmtId="165" xfId="0" applyFont="1" applyNumberFormat="1"/>
    <xf borderId="2" fillId="0" fontId="2" numFmtId="165" xfId="0" applyAlignment="1" applyBorder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2" fontId="13" numFmtId="165" xfId="0" applyAlignment="1" applyFont="1" applyNumberFormat="1">
      <alignment horizontal="right"/>
    </xf>
    <xf borderId="1" fillId="0" fontId="4" numFmtId="167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ocumenttasks/documenttask20.xml><?xml version="1.0" encoding="utf-8"?>
<Tasks xmlns="http://schemas.microsoft.com/office/tasks/2019/documenttasks"/>
</file>

<file path=xl/documenttasks/documenttask21.xml><?xml version="1.0" encoding="utf-8"?>
<Tasks xmlns="http://schemas.microsoft.com/office/tasks/2019/documenttasks"/>
</file>

<file path=xl/documenttasks/documenttask2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g Hemberg" id="{e132c45e-b3b5-47f0-a602-bf1485d73369}" providerId="google-sheets"/>
  <x18tc:person displayName="David Mitterer Stråhle" id="{93c53eca-9d8e-4619-b8dd-9420b4a9c8bd}" providerId="google-sheets"/>
  <x18tc:person displayName="Tristan Farkas" id="{3031b610-74c4-4dfc-8c2a-9f7b9e37658c}" providerId="google-sheets"/>
  <x18tc:person displayName="Ludwig Gehlsdorf" id="{a7eb950d-f02b-46b2-9866-08ef89cd0e9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7T12:50:52.00" personId="{a7eb950d-f02b-46b2-9866-08ef89cd0e91}" id="{a36b9e2a-76ea-4586-8a13-4ee3eac3f698}" done="0">
    <x18tc:text xml:space="preserve">Kolla vad detta avser</x18tc:text>
  </x18tc:threadedComment>
  <x18tc:threadedComment ref="A1" dT="2026-03-07T12:43:53.00" personId="{a7eb950d-f02b-46b2-9866-08ef89cd0e91}" id="{31c45d92-0c2f-41c1-b18e-fa873a7f84d6}" done="0">
    <x18tc:text xml:space="preserve">Kanske ta bort?</x18tc:text>
  </x18tc:threadedComment>
  <x18tc:threadedComment ref="A1" dT="2026-03-07T12:44:29.00" personId="{a7eb950d-f02b-46b2-9866-08ef89cd0e91}" id="{d5aeb716-9ea1-4737-b2d4-ceefa4231b77}" done="0">
    <x18tc:text xml:space="preserve">Crazy att man haft budget till detta</x18tc:text>
  </x18tc:threadedComment>
  <x18tc:threadedComment ref="A1" dT="2026-03-07T12:33:56.00" personId="{a7eb950d-f02b-46b2-9866-08ef89cd0e91}" id="{f836e106-9387-492b-9c22-96878f20d5d2}" done="0">
    <x18tc:text xml:space="preserve">HEJDÅ</x18tc:text>
  </x18tc:threadedComment>
  <x18tc:threadedComment ref="A1" dT="2026-03-07T12:35:46.00" personId="{a7eb950d-f02b-46b2-9866-08ef89cd0e91}" id="{bfa4d982-aa3f-4003-a36f-fe698ba14249}" done="0">
    <x18tc:text xml:space="preserve">Pepptisdag får kosta</x18tc:text>
  </x18tc:threadedComment>
  <x18tc:threadedComment ref="A1" dT="2026-03-05T14:06:20.00" personId="{a7eb950d-f02b-46b2-9866-08ef89cd0e91}" id="{026913dd-b8c9-4dfa-9786-73b86429db6c}" done="0">
    <x18tc:text xml:space="preserve">Kostar mer</x18tc:text>
  </x18tc:threadedComment>
  <x18tc:threadedComment ref="A1" dT="2026-03-05T14:05:48.00" personId="{a7eb950d-f02b-46b2-9866-08ef89cd0e91}" id="{9314c5bf-5400-4a0e-a694-1f64306c9fe4}" done="0">
    <x18tc:text xml:space="preserve">Kostar 1532</x18tc:text>
  </x18tc:threadedComment>
  <x18tc:threadedComment ref="A1" dT="2026-03-21T02:59:15.00" personId="{a7eb950d-f02b-46b2-9866-08ef89cd0e91}" id="{95727579-e375-4ed7-b462-28425a784a83}" done="0">
    <x18tc:text xml:space="preserve">Bort på sektionsmöten?</x18tc:text>
  </x18tc:threadedComment>
  <x18tc:threadedComment ref="A1" dT="2026-03-09T13:42:35.00" personId="{a7eb950d-f02b-46b2-9866-08ef89cd0e91}" id="{77f3e126-1ad1-4dfc-80ef-d83a8982e81c}" done="0">
    <x18tc:text xml:space="preserve">kolla kostnad</x18tc:text>
  </x18tc:threadedComment>
  <x18tc:threadedComment ref="A1" dT="2026-03-14T09:38:45.00" personId="{93c53eca-9d8e-4619-b8dd-9420b4a9c8bd}" id="{8c4f4631-459f-46c9-93f5-95c8ddce4822}" done="0">
    <x18tc:text xml:space="preserve">sänka till 3......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2" dT="2026-02-23T17:37:57.00" personId="{a7eb950d-f02b-46b2-9866-08ef89cd0e91}" id="{cefe6e01-d46c-4233-b15d-db63b90d0de5}" done="0">
    <x18tc:text xml:space="preserve">Bör väl vara 1 i år?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3" dT="2026-03-03T13:33:16.00" personId="{a7eb950d-f02b-46b2-9866-08ef89cd0e91}" id="{2abb21c7-73f9-4e86-9128-a575f64723ad}" done="0">
    <x18tc:text xml:space="preserve">1595</x18tc:text>
  </x18tc:threadedComment>
  <x18tc:threadedComment ref="N41" dT="2026-03-25T20:59:01.00" personId="{a7eb950d-f02b-46b2-9866-08ef89cd0e91}" id="{7300ca8c-ef07-43fc-a0d2-16c853772e68}" done="0">
    <x18tc:text xml:space="preserve">Lägg till post för övriga kostnader</x18tc:text>
  </x18tc:threadedComment>
  <x18tc:threadedComment ref="H18" dT="2026-03-21T02:05:41.00" personId="{a7eb950d-f02b-46b2-9866-08ef89cd0e91}" id="{bea8e2a8-186d-4559-b7e4-2c2b75d9a474}" done="0">
    <x18tc:text xml:space="preserve">Snacka med E:arna och habibi</x18tc:text>
  </x18tc:threadedComment>
  <x18tc:threadedComment ref="H18" dT="2026-03-21T02:08:07.00" personId="{a7eb950d-f02b-46b2-9866-08ef89cd0e91}" id="{9aa8c909-c5ce-44d3-b069-8b3112790b4f}" parentId="{bea8e2a8-186d-4559-b7e4-2c2b75d9a474}">
    <x18tc:text xml:space="preserve">Höjt med 20kr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6" dT="2026-03-21T03:40:49.00" personId="{a7eb950d-f02b-46b2-9866-08ef89cd0e91}" id="{2be2852d-de13-4b53-9389-6f092ce8b93f}" done="0">
    <x18tc:text xml:space="preserve">kastrera?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0" dT="2026-03-21T03:41:41.00" personId="{a7eb950d-f02b-46b2-9866-08ef89cd0e91}" id="{304ad9fb-e3f1-4fc5-9a7e-c8538e5c7060}" done="0">
    <x18tc:text xml:space="preserve">Kostar en macka 24 kr att göra?</x18tc:text>
  </x18tc:threadedComment>
  <x18tc:threadedComment ref="F15" dT="2026-03-21T01:55:33.00" personId="{a7eb950d-f02b-46b2-9866-08ef89cd0e91}" id="{3b3f174f-677a-43a3-8dce-f8f6b2c01dab}" done="0">
    <x18tc:text xml:space="preserve">Kolla på detta Thyra</x18tc:text>
  </x18tc:threadedComment>
  <x18tc:threadedComment ref="F15" dT="2026-03-21T01:56:00.00" personId="{a7eb950d-f02b-46b2-9866-08ef89cd0e91}" id="{c3ca9164-9a61-47af-b36b-e88fa5f59050}" parentId="{3b3f174f-677a-43a3-8dce-f8f6b2c01dab}">
    <x18tc:text xml:space="preserve">Är detta representativt?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2" dT="2026-03-21T01:57:19.00" personId="{a7eb950d-f02b-46b2-9866-08ef89cd0e91}" id="{b33410c1-be07-4a6f-99ff-904fe6db4218}" done="0">
    <x18tc:text xml:space="preserve">Är dessa siffror rimliga?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0" dT="2026-03-21T04:25:54.00" personId="{a7eb950d-f02b-46b2-9866-08ef89cd0e91}" id="{28d1bde2-6fcb-444f-a2fa-da56026bd2cc}" done="0">
    <x18tc:text xml:space="preserve">Just ja, vi payar inte för detta utan får det gratis</x18tc:text>
  </x18tc:threadedComment>
  <x18tc:threadedComment ref="L58" dT="2026-03-04T13:17:06.00" personId="{e132c45e-b3b5-47f0-a602-bf1485d73369}" id="{afdeb110-7974-457e-a721-e9eba44cdd2d}" done="0">
    <x18tc:text xml:space="preserve">innan revidering så inte superrelevant kanske men denna stämmer inte, borde va 210 000 kr</x18tc:text>
  </x18tc:threadedComment>
  <x18tc:threadedComment ref="H33" dT="2026-02-23T19:21:56.00" personId="{a7eb950d-f02b-46b2-9866-08ef89cd0e91}" id="{b39a57dc-26ee-46ce-9c62-4dfc0415798c}" done="1">
    <x18tc:text xml:space="preserve">Vilka priser gäller?</x18tc:text>
  </x18tc:threadedComment>
  <x18tc:threadedComment ref="B39" dT="2026-03-21T02:31:50.00" personId="{a7eb950d-f02b-46b2-9866-08ef89cd0e91}" id="{9c0d9e85-0b47-463b-843e-eda0bb32673d}" done="0">
    <x18tc:text xml:space="preserve">Vad avser detta för inkomster? Rimligt att få in 70k från övrigt?</x18tc:text>
  </x18tc:threadedComment>
  <x18tc:threadedComment ref="B39" dT="2026-03-21T03:58:09.00" personId="{a7eb950d-f02b-46b2-9866-08ef89cd0e91}" id="{d188ac11-6192-4084-9048-fd3e616cff51}" parentId="{9c0d9e85-0b47-463b-843e-eda0bb32673d}">
    <x18tc:text xml:space="preserve">Från vad jag kan se i bokföring omsätter vi cirka 432000 totti på naru02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2" dT="2026-03-21T02:36:37.00" personId="{a7eb950d-f02b-46b2-9866-08ef89cd0e91}" id="{2a201221-62f3-4154-98c2-a462af1c0d5b}" done="0">
    <x18tc:text xml:space="preserve">0 kr?</x18tc:text>
  </x18tc:threadedComment>
  <x18tc:threadedComment ref="H32" dT="2026-03-21T02:36:57.00" personId="{a7eb950d-f02b-46b2-9866-08ef89cd0e91}" id="{f8e7f97f-b57c-42dc-a70c-1b66cbb89185}" parentId="{2a201221-62f3-4154-98c2-a462af1c0d5b}">
    <x18tc:text xml:space="preserve">Tänker "arbetskläder ska arbetas i" inte krökas i</x18tc:text>
  </x18tc:threadedComment>
  <x18tc:threadedComment ref="J44" dT="2026-03-21T03:15:44.00" personId="{a7eb950d-f02b-46b2-9866-08ef89cd0e91}" id="{3034df1f-0de1-4fdf-945f-030502792e3c}" done="0">
    <x18tc:text xml:space="preserve">Köpa biljettistället. Kan nollas utan policyändring enligt mig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3" dT="2026-03-21T02:40:10.00" personId="{a7eb950d-f02b-46b2-9866-08ef89cd0e91}" id="{f63c47a2-91fe-488c-954b-39c00aa6e33e}" done="0">
    <x18tc:text xml:space="preserve">Baka in hos Naru02?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9" dT="2026-03-21T02:40:34.00" personId="{a7eb950d-f02b-46b2-9866-08ef89cd0e91}" id="{29aa7d15-f4ce-4fa9-88b0-29b1dfede459}" done="0">
    <x18tc:text xml:space="preserve">Ska pepptisdagen kosta?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" dT="2026-02-23T19:48:17.00" personId="{a7eb950d-f02b-46b2-9866-08ef89cd0e91}" id="{f31eeb0a-a917-4a5b-80b5-527b55d195bd}" done="1">
    <x18tc:text xml:space="preserve">Lägg till teknologkårmössor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" dT="2026-02-23T19:51:15.00" personId="{a7eb950d-f02b-46b2-9866-08ef89cd0e91}" id="{7702dce2-0894-42f1-b8fc-943632a11a61}" done="1">
    <x18tc:text xml:space="preserve">25 kr per person</x18tc:text>
  </x18tc:threadedComment>
  <x18tc:threadedComment ref="H19" dT="2026-02-23T19:51:25.00" personId="{a7eb950d-f02b-46b2-9866-08ef89cd0e91}" id="{65c60679-2d1a-404e-a002-cca8d41e0c33}" parentId="{7702dce2-0894-42f1-b8fc-943632a11a61}">
    <x18tc:text xml:space="preserve">Om inte mer</x18tc:text>
  </x18tc:threadedComment>
  <x18tc:threadedComment ref="H19" dT="2026-02-24T16:11:20.00" personId="{a7eb950d-f02b-46b2-9866-08ef89cd0e91}" id="{83e7813f-7535-40fc-8f6e-1d746a7c4e0f}" parentId="{7702dce2-0894-42f1-b8fc-943632a11a61}">
    <x18tc:text xml:space="preserve">Matlåta?</x18tc:text>
  </x18tc:threadedComment>
  <x18tc:threadedComment ref="H19" dT="2026-02-24T16:16:46.00" personId="{a7eb950d-f02b-46b2-9866-08ef89cd0e91}" id="{e7ad02b2-35bd-465e-952a-5817a6ac272b}" done="0">
    <x18tc:text xml:space="preserve">Kanske att man ska paya för mat?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4" dT="2026-02-23T19:55:49.00" personId="{a7eb950d-f02b-46b2-9866-08ef89cd0e91}" id="{2c099354-62c8-45fc-aeb3-f07380044c24}" done="0">
    <x18tc:text xml:space="preserve">Spenderade 16000 kr 2025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9" dT="2026-02-23T20:31:07.00" personId="{a7eb950d-f02b-46b2-9866-08ef89cd0e91}" id="{b0efd407-77e4-4035-820f-fab8909df593}" done="0">
    <x18tc:text xml:space="preserve">Dyrt med tillstånd nuförtiden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0" dT="2026-02-24T18:38:30.00" personId="{a7eb950d-f02b-46b2-9866-08ef89cd0e91}" id="{d88aeafd-65c5-48bd-97d8-caff0ca4c62a}" done="0">
    <x18tc:text xml:space="preserve">Alla får inte ens vanligtvis</x18tc:text>
  </x18tc:threadedComment>
  <x18tc:threadedComment ref="J29" dT="2026-02-24T18:38:20.00" personId="{a7eb950d-f02b-46b2-9866-08ef89cd0e91}" id="{14d12bc9-7cb2-4cf4-8822-476894115217}" done="0">
    <x18tc:text xml:space="preserve">Vi klarar oss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2" dT="2026-03-04T11:59:07.00" personId="{a7eb950d-f02b-46b2-9866-08ef89cd0e91}" id="{77431aaa-109f-4e3e-8ebf-26014cf66a9e}" done="0">
    <x18tc:text xml:space="preserve">Föregående utan förlustfördelning för dansken kommer</x18tc:text>
  </x18tc:threadedComment>
  <x18tc:threadedComment ref="J33" dT="2026-03-21T03:48:09.00" personId="{a7eb950d-f02b-46b2-9866-08ef89cd0e91}" id="{f49a22a5-06d8-4512-8192-5f5813f8e76e}" done="0">
    <x18tc:text xml:space="preserve">Bör vi budgetera så att sittningar +-0 när man räknar med alkohol eller utan alkohol?</x18tc:text>
  </x18tc:threadedComment>
  <x18tc:threadedComment ref="L22" dT="2026-03-21T01:14:58.00" personId="{a7eb950d-f02b-46b2-9866-08ef89cd0e91}" id="{bd7b8211-6ee1-4886-b3f4-1a5116467925}" done="0">
    <x18tc:text xml:space="preserve">Kolla dessa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7" dT="2026-02-24T19:24:35.00" personId="{a7eb950d-f02b-46b2-9866-08ef89cd0e91}" id="{b43e4d5d-bcde-49ac-8e50-7869c0ff53e6}" done="0">
    <x18tc:text xml:space="preserve">Jättesus? Budgeterar för att gå back på mat?</x18tc:text>
  </x18tc:threadedComment>
  <x18tc:threadedComment ref="J47" dT="2026-02-24T21:48:02.00" personId="{a7eb950d-f02b-46b2-9866-08ef89cd0e91}" id="{870daf5b-6832-4171-bc3a-0850a534424e}" parentId="{b43e4d5d-bcde-49ac-8e50-7869c0ff53e6}">
    <x18tc:text xml:space="preserve">KOlla matkostnad företagspub</x18tc:text>
  </x18tc:threadedComment>
  <x18tc:threadedComment ref="J21" dT="2026-02-24T21:39:12.00" personId="{a7eb950d-f02b-46b2-9866-08ef89cd0e91}" id="{c150b97d-fda4-4350-b1f1-d9637dad36d3}" done="0">
    <x18tc:text xml:space="preserve">Kolla hur mycket företag ger för mat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8" dT="2026-02-23T21:14:43.00" personId="{3031b610-74c4-4dfc-8c2a-9f7b9e37658c}" id="{22d4a7bc-ca44-4b7d-887e-9243960fc3c8}" done="1">
    <x18tc:text xml:space="preserve">tlth höjt priser</x18tc:text>
  </x18tc:threadedComment>
  <x18tc:threadedComment ref="B30" dT="2026-02-23T21:15:15.00" personId="{a7eb950d-f02b-46b2-9866-08ef89cd0e91}" id="{3789db86-eac8-4e0a-84c4-dbe844809899}" done="0">
    <x18tc:text xml:space="preserve">Fyrverkerier ingår i biljettpriset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5" dT="2026-03-23T12:53:22.00" personId="{a7eb950d-f02b-46b2-9866-08ef89cd0e91}" id="{251c5f8a-4d69-4f67-9f07-74a59c4714ff}" done="0">
    <x18tc:text xml:space="preserve">kolla</x18tc:text>
  </x18tc:threadedComment>
</x18tc:ThreadedComments>
</file>

<file path=xl/threadedComments/threadedComment2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9" dT="2026-02-24T13:35:23.00" personId="{a7eb950d-f02b-46b2-9866-08ef89cd0e91}" id="{309324dd-7da9-4c0b-8ef5-7f1b12b8ff17}" done="0">
    <x18tc:text xml:space="preserve">Bokfört för 5500 kr totti 2025</x18tc:text>
  </x18tc:threadedComment>
  <x18tc:threadedComment ref="J40" dT="2026-02-24T12:54:09.00" personId="{a7eb950d-f02b-46b2-9866-08ef89cd0e91}" id="{2a55ffd1-b1c8-4e2c-bf8a-413273a6980d}" done="0">
    <x18tc:text xml:space="preserve">Har payat för ett halvår</x18tc:text>
  </x18tc:threadedComment>
</x18tc:ThreadedComments>
</file>

<file path=xl/threadedComments/threadedComment2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8" dT="2026-02-24T14:02:29.00" personId="{a7eb950d-f02b-46b2-9866-08ef89cd0e91}" id="{db6da7c1-d96b-4077-9abe-09e4cb57ee5e}" done="0">
    <x18tc:text xml:space="preserve">Får vi bidrag?</x18tc:text>
  </x18tc:threadedComment>
  <x18tc:threadedComment ref="J32" dT="2026-02-24T16:23:46.00" personId="{a7eb950d-f02b-46b2-9866-08ef89cd0e91}" id="{cbc2bf2c-2cf7-4fde-a693-40e93568e27e}" done="0">
    <x18tc:text xml:space="preserve">Ingen mat till övriga pluggkvällar</x18tc:text>
  </x18tc:threadedComment>
</x18tc:ThreadedComments>
</file>

<file path=xl/threadedComments/threadedComment2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5" dT="2026-02-24T14:32:31.00" personId="{a7eb950d-f02b-46b2-9866-08ef89cd0e91}" id="{62a8e04a-13dd-4587-bcd7-d2faf2e73bd7}" done="0">
    <x18tc:text xml:space="preserve">Namnbricka istället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10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11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12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3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14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30.xml"/><Relationship Id="rId5" Type="http://schemas.openxmlformats.org/officeDocument/2006/relationships/vmlDrawing" Target="../drawings/vmlDrawing15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16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34.xml"/><Relationship Id="rId5" Type="http://schemas.openxmlformats.org/officeDocument/2006/relationships/vmlDrawing" Target="../drawings/vmlDrawing17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35.xml"/><Relationship Id="rId5" Type="http://schemas.openxmlformats.org/officeDocument/2006/relationships/vmlDrawing" Target="../drawings/vmlDrawing18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19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20.xml"/><Relationship Id="rId3" Type="http://schemas.microsoft.com/office/2019/04/relationships/documenttask" Target="../documenttasks/documenttask20.xml"/><Relationship Id="rId4" Type="http://schemas.openxmlformats.org/officeDocument/2006/relationships/drawing" Target="../drawings/drawing39.xml"/><Relationship Id="rId5" Type="http://schemas.openxmlformats.org/officeDocument/2006/relationships/vmlDrawing" Target="../drawings/vmlDrawing20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21.xml"/><Relationship Id="rId3" Type="http://schemas.microsoft.com/office/2019/04/relationships/documenttask" Target="../documenttasks/documenttask21.xml"/><Relationship Id="rId4" Type="http://schemas.openxmlformats.org/officeDocument/2006/relationships/drawing" Target="../drawings/drawing41.xml"/><Relationship Id="rId5" Type="http://schemas.openxmlformats.org/officeDocument/2006/relationships/vmlDrawing" Target="../drawings/vmlDrawing21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22.xml"/><Relationship Id="rId3" Type="http://schemas.microsoft.com/office/2019/04/relationships/documenttask" Target="../documenttasks/documenttask22.xml"/><Relationship Id="rId4" Type="http://schemas.openxmlformats.org/officeDocument/2006/relationships/drawing" Target="../drawings/drawing50.xml"/><Relationship Id="rId5" Type="http://schemas.openxmlformats.org/officeDocument/2006/relationships/vmlDrawing" Target="../drawings/vmlDrawing22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1.88"/>
    <col customWidth="1" min="3" max="3" width="5.25"/>
    <col customWidth="1" min="4" max="5" width="15.13"/>
    <col customWidth="1" min="6" max="6" width="20.13"/>
    <col customWidth="1" min="7" max="7" width="7.25"/>
    <col customWidth="1" min="8" max="8" width="15.38"/>
    <col customWidth="1" min="9" max="9" width="15.13"/>
    <col customWidth="1" min="10" max="10" width="12.38"/>
    <col customWidth="1" min="12" max="12" width="20.63"/>
  </cols>
  <sheetData>
    <row r="1" ht="15.75" customHeight="1">
      <c r="A1" s="1" t="s">
        <v>0</v>
      </c>
      <c r="C1" s="2"/>
      <c r="D1" s="3" t="s">
        <v>1</v>
      </c>
      <c r="H1" s="3" t="s">
        <v>2</v>
      </c>
      <c r="K1" s="2"/>
      <c r="L1" s="4"/>
      <c r="T1" s="2"/>
      <c r="U1" s="2"/>
      <c r="V1" s="2"/>
      <c r="W1" s="2"/>
      <c r="X1" s="2"/>
      <c r="Y1" s="2"/>
      <c r="Z1" s="2"/>
    </row>
    <row r="2" ht="15.75" customHeight="1">
      <c r="A2" s="5"/>
      <c r="B2" s="6"/>
      <c r="C2" s="2"/>
      <c r="D2" s="7" t="s">
        <v>3</v>
      </c>
      <c r="E2" s="7" t="s">
        <v>4</v>
      </c>
      <c r="F2" s="7" t="s">
        <v>5</v>
      </c>
      <c r="H2" s="7" t="s">
        <v>3</v>
      </c>
      <c r="I2" s="7" t="s">
        <v>4</v>
      </c>
      <c r="J2" s="7" t="s">
        <v>5</v>
      </c>
      <c r="K2" s="2"/>
      <c r="L2" s="8"/>
      <c r="M2" s="9"/>
      <c r="N2" s="9"/>
      <c r="O2" s="2"/>
      <c r="P2" s="2"/>
      <c r="Q2" s="10"/>
      <c r="R2" s="11"/>
      <c r="S2" s="2"/>
      <c r="T2" s="2"/>
      <c r="U2" s="2"/>
      <c r="V2" s="2"/>
      <c r="W2" s="2"/>
      <c r="X2" s="2"/>
      <c r="Y2" s="2"/>
      <c r="Z2" s="2"/>
    </row>
    <row r="3" ht="15.75" customHeight="1">
      <c r="A3" s="12" t="s">
        <v>6</v>
      </c>
      <c r="C3" s="2"/>
      <c r="D3" s="13">
        <f t="shared" ref="D3:E3" si="1">SUM(D5:D108)/2</f>
        <v>2987720.888</v>
      </c>
      <c r="E3" s="13">
        <f t="shared" si="1"/>
        <v>2979274.091</v>
      </c>
      <c r="F3" s="13">
        <f>D3-E3</f>
        <v>8446.797626</v>
      </c>
      <c r="H3" s="13">
        <f t="shared" ref="H3:I3" si="2">SUM(H4:H108)/2</f>
        <v>2876915.173</v>
      </c>
      <c r="I3" s="13">
        <f t="shared" si="2"/>
        <v>2884542.5</v>
      </c>
      <c r="J3" s="13">
        <f>H3-I3</f>
        <v>-7627.327082</v>
      </c>
      <c r="K3" s="2"/>
      <c r="L3" s="11"/>
      <c r="M3" s="9"/>
      <c r="N3" s="9"/>
      <c r="O3" s="2"/>
      <c r="P3" s="2"/>
      <c r="Q3" s="2"/>
      <c r="R3" s="14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7</v>
      </c>
      <c r="B4" s="15" t="s">
        <v>8</v>
      </c>
      <c r="C4" s="2"/>
      <c r="D4" s="16"/>
      <c r="E4" s="16"/>
      <c r="F4" s="16"/>
      <c r="H4" s="16"/>
      <c r="I4" s="16"/>
      <c r="J4" s="16"/>
      <c r="K4" s="2"/>
      <c r="L4" s="9"/>
      <c r="M4" s="17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9</v>
      </c>
      <c r="C5" s="2"/>
      <c r="D5" s="9"/>
      <c r="E5" s="9"/>
      <c r="F5" s="9"/>
      <c r="H5" s="9"/>
      <c r="I5" s="9"/>
      <c r="J5" s="9"/>
      <c r="K5" s="2"/>
      <c r="L5" s="9"/>
      <c r="M5" s="17"/>
      <c r="N5" s="9"/>
      <c r="O5" s="2"/>
      <c r="P5" s="2"/>
      <c r="Q5" s="10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8" t="s">
        <v>10</v>
      </c>
      <c r="B6" s="2" t="str">
        <f t="array" ref="B6">INDIRECT(ADDRESS(ROW(B$1),COLUMN(B$1),4,TRUE,$A6))</f>
        <v>Funktionärer</v>
      </c>
      <c r="C6" s="2"/>
      <c r="D6" s="19">
        <f t="array" ref="D6">INDIRECT(ADDRESS(ROW($J$6),COLUMN($J$6),4,TRUE,$A6))</f>
        <v>0</v>
      </c>
      <c r="E6" s="19">
        <f t="shared" ref="E6:E10" si="3">INDIRECT(ADDRESS(ROW($J$7),COLUMN($J$7),4,TRUE,$A6))</f>
        <v>7546</v>
      </c>
      <c r="F6" s="11">
        <f t="shared" ref="F6:F10" si="4">D6-E6</f>
        <v>-7546</v>
      </c>
      <c r="H6" s="16">
        <f t="array" ref="H6">INDIRECT(ADDRESS(ROW($L$6),COLUMN($L$6),4,TRUE,$A6))</f>
        <v>0</v>
      </c>
      <c r="I6" s="19">
        <f t="shared" ref="I6:I10" si="5">INDIRECT(ADDRESS(ROW($L$7),COLUMN($L$7),4,TRUE,$A6))</f>
        <v>15792</v>
      </c>
      <c r="J6" s="11">
        <f t="shared" ref="J6:J10" si="6">H6-I6</f>
        <v>-15792</v>
      </c>
      <c r="K6" s="2"/>
      <c r="L6" s="20"/>
      <c r="M6" s="21"/>
      <c r="N6" s="21"/>
      <c r="O6" s="22"/>
      <c r="P6" s="2"/>
      <c r="Q6" s="22"/>
      <c r="R6" s="22"/>
      <c r="S6" s="10"/>
      <c r="T6" s="2"/>
      <c r="U6" s="2"/>
      <c r="V6" s="2"/>
      <c r="W6" s="2"/>
      <c r="X6" s="2"/>
      <c r="Y6" s="2"/>
      <c r="Z6" s="2"/>
    </row>
    <row r="7" ht="15.75" customHeight="1">
      <c r="A7" s="18" t="s">
        <v>11</v>
      </c>
      <c r="B7" s="2" t="str">
        <f t="shared" ref="B7:B10" si="7">INDIRECT(ADDRESS(ROW(B$1),COLUMN($B$1),4,TRUE,$A7))</f>
        <v>UtEDischot</v>
      </c>
      <c r="C7" s="2"/>
      <c r="D7" s="19">
        <f t="shared" ref="D7:D10" si="8">INDIRECT(ADDRESS(ROW($J$6),COLUMN($J$6),4,TRUE,$A7))</f>
        <v>460595</v>
      </c>
      <c r="E7" s="19">
        <f t="shared" si="3"/>
        <v>438810</v>
      </c>
      <c r="F7" s="11">
        <f t="shared" si="4"/>
        <v>21785</v>
      </c>
      <c r="H7" s="19">
        <f t="shared" ref="H7:H10" si="9">INDIRECT(ADDRESS(ROW($L$6),COLUMN($L$6),4,TRUE,$A7))</f>
        <v>436500</v>
      </c>
      <c r="I7" s="19">
        <f t="shared" si="5"/>
        <v>415731.5</v>
      </c>
      <c r="J7" s="11">
        <f t="shared" si="6"/>
        <v>20768.5</v>
      </c>
      <c r="K7" s="2"/>
      <c r="L7" s="23"/>
      <c r="M7" s="9"/>
      <c r="N7" s="24"/>
      <c r="O7" s="11"/>
      <c r="P7" s="2"/>
      <c r="Q7" s="2"/>
      <c r="R7" s="14"/>
      <c r="S7" s="11"/>
      <c r="T7" s="2"/>
      <c r="U7" s="2"/>
      <c r="V7" s="2"/>
      <c r="W7" s="2"/>
      <c r="X7" s="2"/>
      <c r="Y7" s="2"/>
      <c r="Z7" s="2"/>
    </row>
    <row r="8" ht="15.75" customHeight="1">
      <c r="A8" s="18" t="s">
        <v>12</v>
      </c>
      <c r="B8" s="2" t="str">
        <f t="shared" si="7"/>
        <v>Externa evenemang</v>
      </c>
      <c r="C8" s="2"/>
      <c r="D8" s="19">
        <f t="shared" si="8"/>
        <v>40000</v>
      </c>
      <c r="E8" s="19">
        <f t="shared" si="3"/>
        <v>41000</v>
      </c>
      <c r="F8" s="11">
        <f t="shared" si="4"/>
        <v>-1000</v>
      </c>
      <c r="H8" s="19">
        <f t="shared" si="9"/>
        <v>40000</v>
      </c>
      <c r="I8" s="19">
        <f t="shared" si="5"/>
        <v>48000</v>
      </c>
      <c r="J8" s="11">
        <f t="shared" si="6"/>
        <v>-8000</v>
      </c>
      <c r="K8" s="2"/>
      <c r="L8" s="23"/>
      <c r="M8" s="25"/>
      <c r="N8" s="24"/>
      <c r="O8" s="11"/>
      <c r="P8" s="26"/>
      <c r="Q8" s="26"/>
      <c r="R8" s="14"/>
      <c r="S8" s="11"/>
      <c r="T8" s="2"/>
      <c r="U8" s="2"/>
      <c r="V8" s="2"/>
      <c r="W8" s="2"/>
      <c r="X8" s="2"/>
      <c r="Y8" s="2"/>
      <c r="Z8" s="2"/>
    </row>
    <row r="9" ht="15.75" customHeight="1">
      <c r="A9" s="18" t="s">
        <v>13</v>
      </c>
      <c r="B9" s="2" t="str">
        <f t="shared" si="7"/>
        <v>Evenemang</v>
      </c>
      <c r="C9" s="2"/>
      <c r="D9" s="19">
        <f t="shared" si="8"/>
        <v>30000</v>
      </c>
      <c r="E9" s="19">
        <f t="shared" si="3"/>
        <v>66150</v>
      </c>
      <c r="F9" s="11">
        <f t="shared" si="4"/>
        <v>-36150</v>
      </c>
      <c r="H9" s="19">
        <f t="shared" si="9"/>
        <v>30000</v>
      </c>
      <c r="I9" s="19">
        <f t="shared" si="5"/>
        <v>66150</v>
      </c>
      <c r="J9" s="11">
        <f t="shared" si="6"/>
        <v>-36150</v>
      </c>
      <c r="K9" s="2"/>
      <c r="M9" s="25"/>
      <c r="N9" s="24"/>
      <c r="O9" s="11"/>
      <c r="P9" s="2"/>
      <c r="Q9" s="2"/>
      <c r="R9" s="14"/>
      <c r="S9" s="11"/>
      <c r="T9" s="2"/>
      <c r="U9" s="2"/>
      <c r="V9" s="2"/>
      <c r="W9" s="2"/>
      <c r="X9" s="2"/>
      <c r="Y9" s="2"/>
      <c r="Z9" s="2"/>
    </row>
    <row r="10" ht="15.75" customHeight="1">
      <c r="A10" s="18" t="s">
        <v>14</v>
      </c>
      <c r="B10" s="2" t="str">
        <f t="shared" si="7"/>
        <v>Inventarie</v>
      </c>
      <c r="C10" s="2"/>
      <c r="D10" s="19">
        <f t="shared" si="8"/>
        <v>0</v>
      </c>
      <c r="E10" s="19">
        <f t="shared" si="3"/>
        <v>0</v>
      </c>
      <c r="F10" s="11">
        <f t="shared" si="4"/>
        <v>0</v>
      </c>
      <c r="H10" s="19">
        <f t="shared" si="9"/>
        <v>0</v>
      </c>
      <c r="I10" s="19">
        <f t="shared" si="5"/>
        <v>0</v>
      </c>
      <c r="J10" s="11">
        <f t="shared" si="6"/>
        <v>0</v>
      </c>
      <c r="K10" s="2"/>
      <c r="M10" s="9"/>
      <c r="N10" s="24"/>
      <c r="O10" s="11"/>
      <c r="P10" s="2"/>
      <c r="Q10" s="2"/>
      <c r="R10" s="14"/>
      <c r="S10" s="11"/>
      <c r="T10" s="2"/>
      <c r="U10" s="2"/>
      <c r="V10" s="2"/>
      <c r="W10" s="2"/>
      <c r="X10" s="2"/>
      <c r="Y10" s="2"/>
      <c r="Z10" s="2"/>
    </row>
    <row r="11" ht="15.75" customHeight="1">
      <c r="A11" s="27" t="s">
        <v>15</v>
      </c>
      <c r="B11" s="28"/>
      <c r="C11" s="29"/>
      <c r="D11" s="30">
        <f t="shared" ref="D11:F11" si="10">SUM(D6:D10)</f>
        <v>530595</v>
      </c>
      <c r="E11" s="30">
        <f t="shared" si="10"/>
        <v>553506</v>
      </c>
      <c r="F11" s="30">
        <f t="shared" si="10"/>
        <v>-22911</v>
      </c>
      <c r="G11" s="31"/>
      <c r="H11" s="30">
        <f t="shared" ref="H11:J11" si="11">SUM(H6:H10)</f>
        <v>506500</v>
      </c>
      <c r="I11" s="30">
        <f t="shared" si="11"/>
        <v>545673.5</v>
      </c>
      <c r="J11" s="30">
        <f t="shared" si="11"/>
        <v>-39173.5</v>
      </c>
      <c r="K11" s="2"/>
      <c r="M11" s="9"/>
      <c r="N11" s="24"/>
      <c r="O11" s="11"/>
      <c r="P11" s="2"/>
      <c r="Q11" s="2"/>
      <c r="R11" s="14"/>
      <c r="S11" s="11"/>
      <c r="T11" s="2"/>
      <c r="U11" s="2"/>
      <c r="V11" s="2"/>
      <c r="W11" s="2"/>
      <c r="X11" s="2"/>
      <c r="Y11" s="2"/>
      <c r="Z11" s="2"/>
    </row>
    <row r="12" ht="15.75" customHeight="1">
      <c r="A12" s="32"/>
      <c r="B12" s="2"/>
      <c r="C12" s="2"/>
      <c r="D12" s="11"/>
      <c r="E12" s="11"/>
      <c r="F12" s="11"/>
      <c r="H12" s="11"/>
      <c r="I12" s="11"/>
      <c r="J12" s="11"/>
      <c r="K12" s="2"/>
      <c r="L12" s="23"/>
      <c r="M12" s="9"/>
      <c r="N12" s="24"/>
      <c r="O12" s="11"/>
      <c r="P12" s="2"/>
      <c r="Q12" s="2"/>
      <c r="R12" s="14"/>
      <c r="S12" s="11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C13" s="2"/>
      <c r="D13" s="9"/>
      <c r="E13" s="9"/>
      <c r="F13" s="9"/>
      <c r="H13" s="9"/>
      <c r="I13" s="9"/>
      <c r="J13" s="9"/>
      <c r="K13" s="2"/>
      <c r="L13" s="23"/>
      <c r="M13" s="9"/>
      <c r="N13" s="24"/>
      <c r="O13" s="11"/>
      <c r="P13" s="2"/>
      <c r="Q13" s="2"/>
      <c r="R13" s="14"/>
      <c r="S13" s="11"/>
      <c r="T13" s="2"/>
      <c r="U13" s="2"/>
      <c r="V13" s="2"/>
      <c r="W13" s="2"/>
      <c r="X13" s="2"/>
      <c r="Y13" s="2"/>
      <c r="Z13" s="2"/>
    </row>
    <row r="14" ht="15.75" customHeight="1">
      <c r="A14" s="18" t="s">
        <v>17</v>
      </c>
      <c r="B14" s="2" t="str">
        <f t="shared" ref="B14:B16" si="12">INDIRECT(ADDRESS(ROW(B$1),COLUMN(B$1),4,TRUE,$A14))</f>
        <v>Funktionärer</v>
      </c>
      <c r="C14" s="2"/>
      <c r="D14" s="19">
        <f t="shared" ref="D14:D16" si="13">INDIRECT(ADDRESS(ROW($J$6),COLUMN($J$6),4,TRUE,$A14))</f>
        <v>0</v>
      </c>
      <c r="E14" s="19">
        <f t="shared" ref="E14:E16" si="14">INDIRECT(ADDRESS(ROW($J$7),COLUMN($J$7),4,TRUE,$A14))</f>
        <v>28818</v>
      </c>
      <c r="F14" s="11">
        <f t="shared" ref="F14:F16" si="15">D14-E14</f>
        <v>-28818</v>
      </c>
      <c r="H14" s="19">
        <f t="shared" ref="H14:H16" si="16">INDIRECT(ADDRESS(ROW($L$6),COLUMN($L$6),4,TRUE,$A14))</f>
        <v>0</v>
      </c>
      <c r="I14" s="19">
        <f t="shared" ref="I14:I16" si="17">INDIRECT(ADDRESS(ROW($L$7),COLUMN($L$7),4,TRUE,$A14))</f>
        <v>42712</v>
      </c>
      <c r="J14" s="11">
        <f t="shared" ref="J14:J16" si="18">H14-I14</f>
        <v>-42712</v>
      </c>
      <c r="K14" s="2"/>
      <c r="L14" s="23"/>
      <c r="M14" s="9"/>
      <c r="N14" s="24"/>
      <c r="O14" s="11"/>
      <c r="P14" s="2"/>
      <c r="Q14" s="2"/>
      <c r="R14" s="14"/>
      <c r="S14" s="11"/>
      <c r="T14" s="2"/>
      <c r="U14" s="2"/>
      <c r="V14" s="2"/>
      <c r="W14" s="2"/>
      <c r="X14" s="2"/>
      <c r="Y14" s="2"/>
      <c r="Z14" s="2"/>
    </row>
    <row r="15" ht="15.75" customHeight="1">
      <c r="A15" s="18" t="s">
        <v>18</v>
      </c>
      <c r="B15" s="2" t="str">
        <f t="shared" si="12"/>
        <v>D-café</v>
      </c>
      <c r="C15" s="2"/>
      <c r="D15" s="19">
        <f t="shared" si="13"/>
        <v>124710</v>
      </c>
      <c r="E15" s="19">
        <f t="shared" si="14"/>
        <v>98740</v>
      </c>
      <c r="F15" s="11">
        <f t="shared" si="15"/>
        <v>25970</v>
      </c>
      <c r="H15" s="19">
        <f t="shared" si="16"/>
        <v>141510</v>
      </c>
      <c r="I15" s="19">
        <f t="shared" si="17"/>
        <v>96220</v>
      </c>
      <c r="J15" s="11">
        <f t="shared" si="18"/>
        <v>45290</v>
      </c>
      <c r="K15" s="2"/>
      <c r="L15" s="23"/>
      <c r="M15" s="9"/>
      <c r="N15" s="24"/>
      <c r="O15" s="11"/>
      <c r="P15" s="2"/>
      <c r="Q15" s="2"/>
      <c r="R15" s="14"/>
      <c r="S15" s="11"/>
      <c r="T15" s="2"/>
      <c r="U15" s="2"/>
      <c r="V15" s="2"/>
      <c r="W15" s="2"/>
      <c r="X15" s="2"/>
      <c r="Y15" s="2"/>
      <c r="Z15" s="2"/>
    </row>
    <row r="16" ht="15.75" customHeight="1">
      <c r="A16" s="18" t="s">
        <v>19</v>
      </c>
      <c r="B16" s="2" t="str">
        <f t="shared" si="12"/>
        <v>Övriga evenemang</v>
      </c>
      <c r="C16" s="2"/>
      <c r="D16" s="19">
        <f t="shared" si="13"/>
        <v>15000</v>
      </c>
      <c r="E16" s="19">
        <f t="shared" si="14"/>
        <v>13500</v>
      </c>
      <c r="F16" s="11">
        <f t="shared" si="15"/>
        <v>1500</v>
      </c>
      <c r="H16" s="19">
        <f t="shared" si="16"/>
        <v>15000</v>
      </c>
      <c r="I16" s="19">
        <f t="shared" si="17"/>
        <v>13500</v>
      </c>
      <c r="J16" s="11">
        <f t="shared" si="18"/>
        <v>1500</v>
      </c>
      <c r="K16" s="2"/>
      <c r="L16" s="23"/>
      <c r="M16" s="9"/>
      <c r="N16" s="24"/>
      <c r="O16" s="11"/>
      <c r="P16" s="2"/>
      <c r="Q16" s="2"/>
      <c r="R16" s="14"/>
      <c r="S16" s="11"/>
      <c r="T16" s="2"/>
      <c r="U16" s="2"/>
      <c r="V16" s="2"/>
      <c r="W16" s="2"/>
      <c r="X16" s="2"/>
      <c r="Y16" s="2"/>
      <c r="Z16" s="2"/>
    </row>
    <row r="17" ht="15.75" customHeight="1">
      <c r="A17" s="27" t="s">
        <v>20</v>
      </c>
      <c r="B17" s="28"/>
      <c r="C17" s="29"/>
      <c r="D17" s="30">
        <f t="shared" ref="D17:F17" si="19">sum(D14:D16)</f>
        <v>139710</v>
      </c>
      <c r="E17" s="30">
        <f t="shared" si="19"/>
        <v>141058</v>
      </c>
      <c r="F17" s="30">
        <f t="shared" si="19"/>
        <v>-1348</v>
      </c>
      <c r="G17" s="31"/>
      <c r="H17" s="30">
        <f t="shared" ref="H17:J17" si="20">sum(H14:H16)</f>
        <v>156510</v>
      </c>
      <c r="I17" s="30">
        <f t="shared" si="20"/>
        <v>152432</v>
      </c>
      <c r="J17" s="30">
        <f t="shared" si="20"/>
        <v>4078</v>
      </c>
      <c r="K17" s="2"/>
      <c r="L17" s="23"/>
      <c r="M17" s="9"/>
      <c r="N17" s="24"/>
      <c r="O17" s="11"/>
      <c r="P17" s="2"/>
      <c r="Q17" s="2"/>
      <c r="R17" s="14"/>
      <c r="S17" s="11"/>
      <c r="T17" s="2"/>
      <c r="U17" s="2"/>
      <c r="V17" s="2"/>
      <c r="W17" s="2"/>
      <c r="X17" s="2"/>
      <c r="Y17" s="2"/>
      <c r="Z17" s="2"/>
    </row>
    <row r="18" ht="15.75" customHeight="1">
      <c r="A18" s="4"/>
      <c r="B18" s="2"/>
      <c r="C18" s="2"/>
      <c r="D18" s="9"/>
      <c r="E18" s="9"/>
      <c r="F18" s="9"/>
      <c r="H18" s="9"/>
      <c r="I18" s="9"/>
      <c r="J18" s="9"/>
      <c r="K18" s="2"/>
      <c r="L18" s="23"/>
      <c r="M18" s="9"/>
      <c r="N18" s="24"/>
      <c r="O18" s="11"/>
      <c r="P18" s="2"/>
      <c r="Q18" s="2"/>
      <c r="R18" s="14"/>
      <c r="S18" s="11"/>
      <c r="T18" s="2"/>
      <c r="U18" s="2"/>
      <c r="V18" s="2"/>
      <c r="W18" s="2"/>
      <c r="X18" s="2"/>
      <c r="Y18" s="2"/>
      <c r="Z18" s="2"/>
    </row>
    <row r="19" ht="15.75" customHeight="1">
      <c r="A19" s="1" t="s">
        <v>21</v>
      </c>
      <c r="C19" s="2"/>
      <c r="D19" s="9"/>
      <c r="E19" s="9"/>
      <c r="F19" s="9"/>
      <c r="G19" s="2"/>
      <c r="H19" s="9"/>
      <c r="I19" s="9"/>
      <c r="J19" s="9"/>
      <c r="K19" s="2"/>
      <c r="L19" s="23"/>
      <c r="M19" s="9"/>
      <c r="N19" s="24"/>
      <c r="O19" s="11"/>
      <c r="P19" s="2"/>
      <c r="Q19" s="2"/>
      <c r="R19" s="14"/>
      <c r="S19" s="11"/>
      <c r="T19" s="2"/>
      <c r="U19" s="2"/>
      <c r="V19" s="2"/>
      <c r="W19" s="2"/>
      <c r="X19" s="2"/>
      <c r="Y19" s="2"/>
      <c r="Z19" s="2"/>
    </row>
    <row r="20" ht="15.75" customHeight="1">
      <c r="A20" s="18" t="s">
        <v>22</v>
      </c>
      <c r="B20" s="2" t="s">
        <v>21</v>
      </c>
      <c r="C20" s="2"/>
      <c r="D20" s="19">
        <f t="array" ref="D20">INDIRECT(ADDRESS(ROW($J$6),COLUMN($J$6),4,TRUE,$A20))</f>
        <v>0</v>
      </c>
      <c r="E20" s="19">
        <f t="array" ref="E20">INDIRECT(ADDRESS(ROW($J$7),COLUMN($J$7),4,TRUE,$A20))</f>
        <v>16755</v>
      </c>
      <c r="F20" s="33">
        <f>D20-E20</f>
        <v>-16755</v>
      </c>
      <c r="G20" s="2"/>
      <c r="H20" s="19">
        <f t="array" ref="H20">INDIRECT(ADDRESS(ROW($L$6),COLUMN($L$6),4,TRUE,$A20))</f>
        <v>0</v>
      </c>
      <c r="I20" s="19">
        <f t="array" ref="I20">INDIRECT(ADDRESS(ROW($L$7),COLUMN($L$7),4,TRUE,$A20))</f>
        <v>30658</v>
      </c>
      <c r="J20" s="11">
        <f>H20-I20</f>
        <v>-30658</v>
      </c>
      <c r="K20" s="2"/>
      <c r="L20" s="23"/>
      <c r="M20" s="9"/>
      <c r="N20" s="24"/>
      <c r="O20" s="11"/>
      <c r="P20" s="2"/>
      <c r="Q20" s="2"/>
      <c r="R20" s="14"/>
      <c r="S20" s="11"/>
      <c r="T20" s="2"/>
      <c r="U20" s="2"/>
      <c r="V20" s="2"/>
      <c r="W20" s="2"/>
      <c r="X20" s="2"/>
      <c r="Y20" s="2"/>
      <c r="Z20" s="2"/>
    </row>
    <row r="21" ht="15.75" customHeight="1">
      <c r="A21" s="27" t="s">
        <v>23</v>
      </c>
      <c r="B21" s="28"/>
      <c r="C21" s="29"/>
      <c r="D21" s="30">
        <f t="shared" ref="D21:F21" si="21">sum(D20)</f>
        <v>0</v>
      </c>
      <c r="E21" s="30">
        <f t="shared" si="21"/>
        <v>16755</v>
      </c>
      <c r="F21" s="34">
        <f t="shared" si="21"/>
        <v>-16755</v>
      </c>
      <c r="G21" s="29"/>
      <c r="H21" s="30">
        <f t="shared" ref="H21:J21" si="22">sum(H20)</f>
        <v>0</v>
      </c>
      <c r="I21" s="30">
        <f t="shared" si="22"/>
        <v>30658</v>
      </c>
      <c r="J21" s="30">
        <f t="shared" si="22"/>
        <v>-30658</v>
      </c>
      <c r="K21" s="2"/>
      <c r="L21" s="23"/>
      <c r="M21" s="9"/>
      <c r="N21" s="24"/>
      <c r="O21" s="11"/>
      <c r="P21" s="2"/>
      <c r="Q21" s="2"/>
      <c r="R21" s="14"/>
      <c r="S21" s="11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2"/>
      <c r="D22" s="9"/>
      <c r="E22" s="9"/>
      <c r="F22" s="9"/>
      <c r="H22" s="9"/>
      <c r="I22" s="9"/>
      <c r="J22" s="9"/>
      <c r="K22" s="2"/>
      <c r="M22" s="9"/>
      <c r="N22" s="24"/>
      <c r="O22" s="11"/>
      <c r="P22" s="2"/>
      <c r="Q22" s="2"/>
      <c r="R22" s="2"/>
      <c r="S22" s="35"/>
      <c r="T22" s="2"/>
      <c r="U22" s="2"/>
      <c r="V22" s="2"/>
      <c r="W22" s="2"/>
      <c r="X22" s="2"/>
      <c r="Y22" s="2"/>
      <c r="Z22" s="2"/>
    </row>
    <row r="23" ht="15.75" customHeight="1">
      <c r="A23" s="1" t="s">
        <v>24</v>
      </c>
      <c r="C23" s="2"/>
      <c r="D23" s="9"/>
      <c r="E23" s="9"/>
      <c r="F23" s="9"/>
      <c r="H23" s="9"/>
      <c r="I23" s="9"/>
      <c r="J23" s="9"/>
      <c r="K23" s="2"/>
      <c r="L23" s="23"/>
      <c r="M23" s="9"/>
      <c r="N23" s="24"/>
      <c r="O23" s="11"/>
      <c r="P23" s="2"/>
      <c r="Q23" s="2"/>
      <c r="R23" s="2"/>
      <c r="S23" s="35"/>
      <c r="T23" s="2"/>
      <c r="U23" s="2"/>
      <c r="V23" s="2"/>
      <c r="W23" s="2"/>
      <c r="X23" s="2"/>
      <c r="Y23" s="2"/>
      <c r="Z23" s="2"/>
    </row>
    <row r="24" ht="15.75" customHeight="1">
      <c r="A24" s="18" t="s">
        <v>25</v>
      </c>
      <c r="B24" s="2" t="s">
        <v>26</v>
      </c>
      <c r="C24" s="2"/>
      <c r="D24" s="19">
        <f t="array" ref="D24">INDIRECT(ADDRESS(ROW($J$6),COLUMN($J$6),4,TRUE,$A24))</f>
        <v>0</v>
      </c>
      <c r="E24" s="19">
        <f t="array" ref="E24">INDIRECT(ADDRESS(ROW($J$7),COLUMN($J$7),4,TRUE,$A24))</f>
        <v>6884</v>
      </c>
      <c r="F24" s="11">
        <f>D24-E24</f>
        <v>-6884</v>
      </c>
      <c r="H24" s="19">
        <f t="array" ref="H24">INDIRECT(ADDRESS(ROW($L$6),COLUMN($L$6),4,TRUE,$A24))</f>
        <v>0</v>
      </c>
      <c r="I24" s="19">
        <f t="array" ref="I24">INDIRECT(ADDRESS(ROW($L$7),COLUMN($L$7),4,TRUE,$A24))</f>
        <v>14468</v>
      </c>
      <c r="J24" s="11">
        <f>H24-I24</f>
        <v>-14468</v>
      </c>
      <c r="K24" s="2"/>
      <c r="L24" s="23"/>
      <c r="M24" s="9"/>
      <c r="N24" s="24"/>
      <c r="O24" s="11"/>
      <c r="P24" s="2"/>
      <c r="Q24" s="2"/>
      <c r="R24" s="2"/>
      <c r="S24" s="35"/>
      <c r="T24" s="2"/>
      <c r="U24" s="2"/>
      <c r="V24" s="2"/>
      <c r="W24" s="2"/>
      <c r="X24" s="2"/>
      <c r="Y24" s="2"/>
      <c r="Z24" s="2"/>
    </row>
    <row r="25" ht="15.75" customHeight="1">
      <c r="A25" s="27" t="s">
        <v>23</v>
      </c>
      <c r="B25" s="28"/>
      <c r="C25" s="29"/>
      <c r="D25" s="30">
        <f t="shared" ref="D25:F25" si="23">sum(D24)</f>
        <v>0</v>
      </c>
      <c r="E25" s="30">
        <f t="shared" si="23"/>
        <v>6884</v>
      </c>
      <c r="F25" s="30">
        <f t="shared" si="23"/>
        <v>-6884</v>
      </c>
      <c r="G25" s="31"/>
      <c r="H25" s="30">
        <f t="shared" ref="H25:J25" si="24">sum(H24)</f>
        <v>0</v>
      </c>
      <c r="I25" s="30">
        <f t="shared" si="24"/>
        <v>14468</v>
      </c>
      <c r="J25" s="30">
        <f t="shared" si="24"/>
        <v>-14468</v>
      </c>
      <c r="K25" s="2"/>
      <c r="L25" s="23"/>
      <c r="M25" s="9"/>
      <c r="N25" s="24"/>
      <c r="O25" s="11"/>
      <c r="P25" s="2"/>
      <c r="Q25" s="10"/>
      <c r="R25" s="14"/>
      <c r="S25" s="11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9"/>
      <c r="E26" s="9"/>
      <c r="F26" s="9"/>
      <c r="H26" s="9"/>
      <c r="I26" s="9"/>
      <c r="J26" s="9"/>
      <c r="K26" s="2"/>
      <c r="L26" s="23"/>
      <c r="M26" s="9"/>
      <c r="N26" s="24"/>
      <c r="O26" s="1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27</v>
      </c>
      <c r="C27" s="2"/>
      <c r="D27" s="9"/>
      <c r="E27" s="9"/>
      <c r="F27" s="16"/>
      <c r="H27" s="9"/>
      <c r="I27" s="9"/>
      <c r="J27" s="9"/>
      <c r="K27" s="2"/>
      <c r="L27" s="23"/>
      <c r="M27" s="9"/>
      <c r="N27" s="24"/>
      <c r="O27" s="1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8" t="s">
        <v>28</v>
      </c>
      <c r="B28" s="2" t="str">
        <f t="array" ref="B28">INDIRECT(ADDRESS(ROW($B$1),COLUMN($B$1),4,TRUE,$A28))</f>
        <v>Allmänt</v>
      </c>
      <c r="C28" s="2"/>
      <c r="D28" s="19">
        <f t="shared" ref="D28:D29" si="25">INDIRECT(ADDRESS(ROW($J$6),COLUMN($J$6),4,TRUE,$A28))</f>
        <v>0</v>
      </c>
      <c r="E28" s="19">
        <f t="shared" ref="E28:E29" si="26">INDIRECT(ADDRESS(ROW($J$7),COLUMN($J$7),4,TRUE,$A28))</f>
        <v>13203</v>
      </c>
      <c r="F28" s="11">
        <f t="shared" ref="F28:F29" si="27">D28-E28</f>
        <v>-13203</v>
      </c>
      <c r="H28" s="19">
        <f t="shared" ref="H28:H29" si="28">INDIRECT(ADDRESS(ROW($L$6),COLUMN($L$6),4,TRUE,$A28))</f>
        <v>0</v>
      </c>
      <c r="I28" s="19">
        <f t="shared" ref="I28:I29" si="29">INDIRECT(ADDRESS(ROW($L$7),COLUMN($L$7),4,TRUE,$A28))</f>
        <v>19842</v>
      </c>
      <c r="J28" s="11">
        <f t="shared" ref="J28:J29" si="30">H28-I28</f>
        <v>-19842</v>
      </c>
      <c r="K28" s="2"/>
      <c r="L28" s="23"/>
      <c r="M28" s="9"/>
      <c r="N28" s="24"/>
      <c r="O28" s="1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8" t="s">
        <v>29</v>
      </c>
      <c r="B29" s="2" t="str">
        <f t="array" ref="B29">INDIRECT(ADDRESS(ROW(B$1),COLUMN(B$1),4,TRUE,$A29))</f>
        <v>D-shopen</v>
      </c>
      <c r="C29" s="2"/>
      <c r="D29" s="19">
        <f t="shared" si="25"/>
        <v>160650</v>
      </c>
      <c r="E29" s="19">
        <f t="shared" si="26"/>
        <v>127500</v>
      </c>
      <c r="F29" s="11">
        <f t="shared" si="27"/>
        <v>33150</v>
      </c>
      <c r="H29" s="19">
        <f t="shared" si="28"/>
        <v>160650</v>
      </c>
      <c r="I29" s="19">
        <f t="shared" si="29"/>
        <v>127500</v>
      </c>
      <c r="J29" s="11">
        <f t="shared" si="30"/>
        <v>33150</v>
      </c>
      <c r="K29" s="2"/>
      <c r="L29" s="23"/>
      <c r="M29" s="9"/>
      <c r="N29" s="24"/>
      <c r="O29" s="1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7" t="s">
        <v>30</v>
      </c>
      <c r="B30" s="28"/>
      <c r="C30" s="29"/>
      <c r="D30" s="30">
        <f t="shared" ref="D30:F30" si="31">sum(D28:D29)</f>
        <v>160650</v>
      </c>
      <c r="E30" s="30">
        <f t="shared" si="31"/>
        <v>140703</v>
      </c>
      <c r="F30" s="30">
        <f t="shared" si="31"/>
        <v>19947</v>
      </c>
      <c r="G30" s="31"/>
      <c r="H30" s="30">
        <f t="shared" ref="H30:J30" si="32">sum(H28:H29)</f>
        <v>160650</v>
      </c>
      <c r="I30" s="30">
        <f t="shared" si="32"/>
        <v>147342</v>
      </c>
      <c r="J30" s="30">
        <f t="shared" si="32"/>
        <v>13308</v>
      </c>
      <c r="K30" s="2"/>
      <c r="L30" s="23"/>
      <c r="M30" s="9"/>
      <c r="N30" s="24"/>
      <c r="O30" s="1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2"/>
      <c r="C31" s="2"/>
      <c r="D31" s="9"/>
      <c r="E31" s="9"/>
      <c r="F31" s="9"/>
      <c r="H31" s="9"/>
      <c r="I31" s="9"/>
      <c r="J31" s="9"/>
      <c r="K31" s="2"/>
      <c r="L31" s="23"/>
      <c r="M31" s="9"/>
      <c r="N31" s="24"/>
      <c r="O31" s="1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31</v>
      </c>
      <c r="C32" s="2"/>
      <c r="D32" s="9"/>
      <c r="E32" s="16"/>
      <c r="F32" s="9"/>
      <c r="H32" s="9"/>
      <c r="I32" s="9"/>
      <c r="J32" s="9"/>
      <c r="K32" s="2"/>
      <c r="L32" s="23"/>
      <c r="M32" s="9"/>
      <c r="N32" s="24"/>
      <c r="O32" s="1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8" t="s">
        <v>32</v>
      </c>
      <c r="B33" s="2" t="str">
        <f t="shared" ref="B33:B34" si="33">INDIRECT(ADDRESS(ROW($B$1),COLUMN($B$1),4,TRUE,$A33))</f>
        <v>Funktionärer</v>
      </c>
      <c r="C33" s="2"/>
      <c r="D33" s="19">
        <f t="shared" ref="D33:D34" si="34">INDIRECT(ADDRESS(ROW($J$6),COLUMN($J$6),4,TRUE,$A33))</f>
        <v>0</v>
      </c>
      <c r="E33" s="19">
        <f t="shared" ref="E33:E34" si="35">INDIRECT(ADDRESS(ROW($J$7),COLUMN($J$7),4,TRUE,$A33))</f>
        <v>15633</v>
      </c>
      <c r="F33" s="11">
        <f t="shared" ref="F33:F34" si="36">D33-E33</f>
        <v>-15633</v>
      </c>
      <c r="H33" s="19">
        <f t="shared" ref="H33:H34" si="37">INDIRECT(ADDRESS(ROW($L$6),COLUMN($L$6),4,TRUE,$A33))</f>
        <v>0</v>
      </c>
      <c r="I33" s="19">
        <f t="shared" ref="I33:I34" si="38">INDIRECT(ADDRESS(ROW($L$7),COLUMN($L$7),4,TRUE,$A33))</f>
        <v>20566</v>
      </c>
      <c r="J33" s="11">
        <f t="shared" ref="J33:J34" si="39">H33-I33</f>
        <v>-20566</v>
      </c>
      <c r="K33" s="2"/>
      <c r="L33" s="11"/>
      <c r="M33" s="9"/>
      <c r="N33" s="24"/>
      <c r="O33" s="1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8" t="s">
        <v>33</v>
      </c>
      <c r="B34" s="2" t="str">
        <f t="shared" si="33"/>
        <v>Inventarie</v>
      </c>
      <c r="C34" s="2"/>
      <c r="D34" s="19">
        <f t="shared" si="34"/>
        <v>1500</v>
      </c>
      <c r="E34" s="19">
        <f t="shared" si="35"/>
        <v>42600</v>
      </c>
      <c r="F34" s="11">
        <f t="shared" si="36"/>
        <v>-41100</v>
      </c>
      <c r="H34" s="19">
        <f t="shared" si="37"/>
        <v>1500</v>
      </c>
      <c r="I34" s="19">
        <f t="shared" si="38"/>
        <v>42600</v>
      </c>
      <c r="J34" s="11">
        <f t="shared" si="39"/>
        <v>-41100</v>
      </c>
      <c r="K34" s="2"/>
      <c r="L34" s="11"/>
      <c r="M34" s="9"/>
      <c r="N34" s="24"/>
      <c r="O34" s="1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7" t="s">
        <v>34</v>
      </c>
      <c r="B35" s="28"/>
      <c r="C35" s="29"/>
      <c r="D35" s="30">
        <f t="shared" ref="D35:F35" si="40">SUM(D33:D34)</f>
        <v>1500</v>
      </c>
      <c r="E35" s="30">
        <f t="shared" si="40"/>
        <v>58233</v>
      </c>
      <c r="F35" s="30">
        <f t="shared" si="40"/>
        <v>-56733</v>
      </c>
      <c r="G35" s="31"/>
      <c r="H35" s="30">
        <f t="shared" ref="H35:J35" si="41">SUM(H33:H34)</f>
        <v>1500</v>
      </c>
      <c r="I35" s="30">
        <f t="shared" si="41"/>
        <v>63166</v>
      </c>
      <c r="J35" s="30">
        <f t="shared" si="41"/>
        <v>-61666</v>
      </c>
      <c r="K35" s="2"/>
      <c r="L35" s="11"/>
      <c r="M35" s="9"/>
      <c r="N35" s="24"/>
      <c r="O35" s="1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/>
      <c r="B36" s="2"/>
      <c r="C36" s="2"/>
      <c r="D36" s="9"/>
      <c r="E36" s="9"/>
      <c r="F36" s="9"/>
      <c r="H36" s="9"/>
      <c r="I36" s="9"/>
      <c r="J36" s="9"/>
      <c r="K36" s="2"/>
      <c r="L36" s="9"/>
      <c r="M36" s="9"/>
      <c r="N36" s="24"/>
      <c r="O36" s="1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35</v>
      </c>
      <c r="C37" s="2"/>
      <c r="D37" s="9"/>
      <c r="E37" s="9"/>
      <c r="F37" s="9"/>
      <c r="H37" s="9"/>
      <c r="I37" s="9"/>
      <c r="J37" s="9"/>
      <c r="K37" s="2"/>
      <c r="L37" s="9"/>
      <c r="M37" s="9"/>
      <c r="N37" s="24"/>
      <c r="O37" s="1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8" t="s">
        <v>36</v>
      </c>
      <c r="B38" s="2" t="s">
        <v>26</v>
      </c>
      <c r="C38" s="2"/>
      <c r="D38" s="19">
        <f t="array" ref="D38">INDIRECT(ADDRESS(ROW($J$6),COLUMN($J$6),4,TRUE,$A38))</f>
        <v>2500</v>
      </c>
      <c r="E38" s="19">
        <f t="array" ref="E38">INDIRECT(ADDRESS(ROW($J$7),COLUMN($J$7),4,TRUE,$A38))</f>
        <v>3035</v>
      </c>
      <c r="F38" s="11">
        <f>D38-E38</f>
        <v>-535</v>
      </c>
      <c r="H38" s="19">
        <f t="array" ref="H38">INDIRECT(ADDRESS(ROW($L$6),COLUMN($L$6),4,TRUE,$A38))</f>
        <v>2500</v>
      </c>
      <c r="I38" s="19">
        <f t="array" ref="I38">INDIRECT(ADDRESS(ROW($L$7),COLUMN($L$7),4,TRUE,$A38))</f>
        <v>4420</v>
      </c>
      <c r="J38" s="11">
        <f>H38-I38</f>
        <v>-1920</v>
      </c>
      <c r="K38" s="2"/>
      <c r="L38" s="11"/>
      <c r="M38" s="9"/>
      <c r="N38" s="24"/>
      <c r="O38" s="1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7" t="s">
        <v>37</v>
      </c>
      <c r="B39" s="28"/>
      <c r="C39" s="29"/>
      <c r="D39" s="30">
        <f t="shared" ref="D39:F39" si="42">sum(D38)</f>
        <v>2500</v>
      </c>
      <c r="E39" s="30">
        <f t="shared" si="42"/>
        <v>3035</v>
      </c>
      <c r="F39" s="30">
        <f t="shared" si="42"/>
        <v>-535</v>
      </c>
      <c r="G39" s="31"/>
      <c r="H39" s="30">
        <f t="shared" ref="H39:J39" si="43">sum(H38)</f>
        <v>2500</v>
      </c>
      <c r="I39" s="30">
        <f t="shared" si="43"/>
        <v>4420</v>
      </c>
      <c r="J39" s="30">
        <f t="shared" si="43"/>
        <v>-1920</v>
      </c>
      <c r="K39" s="2"/>
      <c r="L39" s="11"/>
      <c r="M39" s="9"/>
      <c r="N39" s="24"/>
      <c r="O39" s="1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/>
      <c r="B40" s="2"/>
      <c r="C40" s="2"/>
      <c r="D40" s="9"/>
      <c r="E40" s="9"/>
      <c r="F40" s="9"/>
      <c r="H40" s="9"/>
      <c r="I40" s="9"/>
      <c r="J40" s="9"/>
      <c r="K40" s="2"/>
      <c r="L40" s="9"/>
      <c r="M40" s="9"/>
      <c r="N40" s="24"/>
      <c r="O40" s="1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38</v>
      </c>
      <c r="C41" s="2"/>
      <c r="D41" s="9"/>
      <c r="E41" s="9"/>
      <c r="F41" s="9"/>
      <c r="H41" s="9"/>
      <c r="I41" s="9"/>
      <c r="J41" s="9"/>
      <c r="K41" s="2"/>
      <c r="L41" s="9"/>
      <c r="M41" s="9"/>
      <c r="N41" s="24"/>
      <c r="O41" s="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8" t="s">
        <v>39</v>
      </c>
      <c r="B42" s="2" t="str">
        <f t="shared" ref="B42:B44" si="44">INDIRECT(ADDRESS(ROW(B$1),COLUMN($B$1),4,TRUE,$A42))</f>
        <v>Funktionärer</v>
      </c>
      <c r="C42" s="2"/>
      <c r="D42" s="19">
        <f t="shared" ref="D42:D44" si="45">INDIRECT(ADDRESS(ROW($J$6),COLUMN($J$6),4,TRUE,$A42))</f>
        <v>0</v>
      </c>
      <c r="E42" s="19">
        <f t="shared" ref="E42:E44" si="46">INDIRECT(ADDRESS(ROW($J$7),COLUMN($J$7),4,TRUE,$A42))</f>
        <v>12084</v>
      </c>
      <c r="F42" s="11">
        <f t="shared" ref="F42:F44" si="47">D42-E42</f>
        <v>-12084</v>
      </c>
      <c r="H42" s="19">
        <f t="shared" ref="H42:H44" si="48">INDIRECT(ADDRESS(ROW($L$6),COLUMN($L$6),4,TRUE,$A42))</f>
        <v>0</v>
      </c>
      <c r="I42" s="19">
        <f t="shared" ref="I42:I44" si="49">INDIRECT(ADDRESS(ROW($L$7),COLUMN($L$7),4,TRUE,$A42))</f>
        <v>11840</v>
      </c>
      <c r="J42" s="11">
        <f t="shared" ref="J42:J44" si="50">H42-I42</f>
        <v>-11840</v>
      </c>
      <c r="K42" s="2"/>
      <c r="L42" s="11"/>
      <c r="M42" s="9"/>
      <c r="N42" s="24"/>
      <c r="O42" s="1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 t="s">
        <v>40</v>
      </c>
      <c r="B43" s="2" t="str">
        <f t="shared" si="44"/>
        <v>Spons</v>
      </c>
      <c r="C43" s="2"/>
      <c r="D43" s="19">
        <f t="shared" si="45"/>
        <v>575025</v>
      </c>
      <c r="E43" s="19">
        <f t="shared" si="46"/>
        <v>319525</v>
      </c>
      <c r="F43" s="11">
        <f t="shared" si="47"/>
        <v>255500</v>
      </c>
      <c r="H43" s="19">
        <f t="shared" si="48"/>
        <v>600235</v>
      </c>
      <c r="I43" s="19">
        <f t="shared" si="49"/>
        <v>275535</v>
      </c>
      <c r="J43" s="11">
        <f t="shared" si="50"/>
        <v>324700</v>
      </c>
      <c r="K43" s="2"/>
      <c r="L43" s="11"/>
      <c r="M43" s="9"/>
      <c r="N43" s="24"/>
      <c r="O43" s="1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8" t="s">
        <v>41</v>
      </c>
      <c r="B44" s="2" t="str">
        <f t="shared" si="44"/>
        <v>Alumnigruppen</v>
      </c>
      <c r="C44" s="2"/>
      <c r="D44" s="19">
        <f t="shared" si="45"/>
        <v>30250</v>
      </c>
      <c r="E44" s="19">
        <f t="shared" si="46"/>
        <v>27000</v>
      </c>
      <c r="F44" s="11">
        <f t="shared" si="47"/>
        <v>3250</v>
      </c>
      <c r="H44" s="19">
        <f t="shared" si="48"/>
        <v>30250</v>
      </c>
      <c r="I44" s="19">
        <f t="shared" si="49"/>
        <v>27000</v>
      </c>
      <c r="J44" s="11">
        <f t="shared" si="50"/>
        <v>3250</v>
      </c>
      <c r="K44" s="2"/>
      <c r="L44" s="11"/>
      <c r="M44" s="9"/>
      <c r="N44" s="24"/>
      <c r="O44" s="1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7" t="s">
        <v>42</v>
      </c>
      <c r="B45" s="28"/>
      <c r="C45" s="29"/>
      <c r="D45" s="30">
        <f t="shared" ref="D45:F45" si="51">SUM(D42:D44)</f>
        <v>605275</v>
      </c>
      <c r="E45" s="30">
        <f t="shared" si="51"/>
        <v>358609</v>
      </c>
      <c r="F45" s="30">
        <f t="shared" si="51"/>
        <v>246666</v>
      </c>
      <c r="G45" s="31"/>
      <c r="H45" s="30">
        <f t="shared" ref="H45:J45" si="52">SUM(H42:H44)</f>
        <v>630485</v>
      </c>
      <c r="I45" s="30">
        <f t="shared" si="52"/>
        <v>314375</v>
      </c>
      <c r="J45" s="30">
        <f t="shared" si="52"/>
        <v>316110</v>
      </c>
      <c r="L45" s="10"/>
      <c r="M45" s="9"/>
      <c r="N45" s="24"/>
      <c r="O45" s="1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/>
      <c r="B46" s="2"/>
      <c r="C46" s="2"/>
      <c r="D46" s="9"/>
      <c r="E46" s="9"/>
      <c r="F46" s="9"/>
      <c r="H46" s="9"/>
      <c r="I46" s="9"/>
      <c r="J46" s="9"/>
      <c r="K46" s="2"/>
      <c r="L46" s="9"/>
      <c r="M46" s="9"/>
      <c r="N46" s="24"/>
      <c r="O46" s="1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43</v>
      </c>
      <c r="C47" s="2"/>
      <c r="D47" s="9"/>
      <c r="E47" s="9"/>
      <c r="F47" s="9"/>
      <c r="H47" s="9"/>
      <c r="I47" s="9"/>
      <c r="J47" s="9"/>
      <c r="K47" s="2"/>
      <c r="L47" s="9"/>
      <c r="M47" s="9"/>
      <c r="N47" s="24"/>
      <c r="O47" s="1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8" t="s">
        <v>44</v>
      </c>
      <c r="B48" s="2" t="str">
        <f t="shared" ref="B48:B51" si="53">INDIRECT(ADDRESS(ROW(B$1),COLUMN($B$1),4,TRUE,$A48))</f>
        <v>Funktionärer</v>
      </c>
      <c r="C48" s="2"/>
      <c r="D48" s="19">
        <f t="shared" ref="D48:D51" si="54">INDIRECT(ADDRESS(ROW($J$6),COLUMN($J$6),4,TRUE,$A48))</f>
        <v>10000</v>
      </c>
      <c r="E48" s="19">
        <f t="shared" ref="E48:E51" si="55">INDIRECT(ADDRESS(ROW($J$7),COLUMN($J$7),4,TRUE,$A48))</f>
        <v>45519</v>
      </c>
      <c r="F48" s="11">
        <f t="shared" ref="F48:F51" si="56">D48-E48</f>
        <v>-35519</v>
      </c>
      <c r="H48" s="19">
        <f t="shared" ref="H48:H51" si="57">INDIRECT(ADDRESS(ROW($L$6),COLUMN($L$6),4,TRUE,$A48))</f>
        <v>10000</v>
      </c>
      <c r="I48" s="19">
        <f t="shared" ref="I48:I51" si="58">INDIRECT(ADDRESS(ROW($L$7),COLUMN($L$7),4,TRUE,$A48))</f>
        <v>69868</v>
      </c>
      <c r="J48" s="11">
        <f t="shared" ref="J48:J51" si="59">H48-I48</f>
        <v>-59868</v>
      </c>
      <c r="K48" s="2"/>
      <c r="L48" s="11"/>
      <c r="M48" s="9"/>
      <c r="N48" s="24"/>
      <c r="O48" s="1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8" t="s">
        <v>45</v>
      </c>
      <c r="B49" s="2" t="str">
        <f t="shared" si="53"/>
        <v>Material</v>
      </c>
      <c r="C49" s="2"/>
      <c r="D49" s="19">
        <f t="shared" si="54"/>
        <v>0</v>
      </c>
      <c r="E49" s="19">
        <f t="shared" si="55"/>
        <v>42000</v>
      </c>
      <c r="F49" s="11">
        <f t="shared" si="56"/>
        <v>-42000</v>
      </c>
      <c r="H49" s="19">
        <f t="shared" si="57"/>
        <v>0</v>
      </c>
      <c r="I49" s="19">
        <f t="shared" si="58"/>
        <v>102000</v>
      </c>
      <c r="J49" s="11">
        <f t="shared" si="59"/>
        <v>-102000</v>
      </c>
      <c r="K49" s="2"/>
      <c r="L49" s="11"/>
      <c r="M49" s="9"/>
      <c r="N49" s="24"/>
      <c r="O49" s="1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8" t="s">
        <v>46</v>
      </c>
      <c r="B50" s="2" t="str">
        <f t="shared" si="53"/>
        <v>Pepparna</v>
      </c>
      <c r="C50" s="2"/>
      <c r="D50" s="19">
        <f t="shared" si="54"/>
        <v>0</v>
      </c>
      <c r="E50" s="19">
        <f t="shared" si="55"/>
        <v>46400</v>
      </c>
      <c r="F50" s="11">
        <f t="shared" si="56"/>
        <v>-46400</v>
      </c>
      <c r="H50" s="19">
        <f t="shared" si="57"/>
        <v>0</v>
      </c>
      <c r="I50" s="19">
        <f t="shared" si="58"/>
        <v>46400</v>
      </c>
      <c r="J50" s="11">
        <f t="shared" si="59"/>
        <v>-46400</v>
      </c>
      <c r="K50" s="2"/>
      <c r="L50" s="11"/>
      <c r="M50" s="9"/>
      <c r="N50" s="24"/>
      <c r="O50" s="1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8" t="s">
        <v>47</v>
      </c>
      <c r="B51" s="2" t="str">
        <f t="shared" si="53"/>
        <v>Evenemang</v>
      </c>
      <c r="C51" s="2"/>
      <c r="D51" s="19">
        <f t="shared" si="54"/>
        <v>144500</v>
      </c>
      <c r="E51" s="19">
        <f t="shared" si="55"/>
        <v>194100</v>
      </c>
      <c r="F51" s="11">
        <f t="shared" si="56"/>
        <v>-49600</v>
      </c>
      <c r="H51" s="19">
        <f t="shared" si="57"/>
        <v>104000</v>
      </c>
      <c r="I51" s="19">
        <f t="shared" si="58"/>
        <v>153600</v>
      </c>
      <c r="J51" s="11">
        <f t="shared" si="59"/>
        <v>-49600</v>
      </c>
      <c r="K51" s="2"/>
      <c r="L51" s="11"/>
      <c r="M51" s="9"/>
      <c r="N51" s="24"/>
      <c r="O51" s="1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7" t="s">
        <v>48</v>
      </c>
      <c r="B52" s="28"/>
      <c r="C52" s="29"/>
      <c r="D52" s="30">
        <f t="shared" ref="D52:F52" si="60">SUM(D48:D51)</f>
        <v>154500</v>
      </c>
      <c r="E52" s="30">
        <f t="shared" si="60"/>
        <v>328019</v>
      </c>
      <c r="F52" s="30">
        <f t="shared" si="60"/>
        <v>-173519</v>
      </c>
      <c r="G52" s="31"/>
      <c r="H52" s="30">
        <f t="shared" ref="H52:J52" si="61">SUM(H48:H51)</f>
        <v>114000</v>
      </c>
      <c r="I52" s="30">
        <f t="shared" si="61"/>
        <v>371868</v>
      </c>
      <c r="J52" s="30">
        <f t="shared" si="61"/>
        <v>-257868</v>
      </c>
      <c r="K52" s="2"/>
      <c r="L52" s="11"/>
      <c r="M52" s="9"/>
      <c r="N52" s="24"/>
      <c r="O52" s="1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/>
      <c r="B53" s="2"/>
      <c r="C53" s="2"/>
      <c r="D53" s="9"/>
      <c r="E53" s="9"/>
      <c r="F53" s="9"/>
      <c r="H53" s="9"/>
      <c r="I53" s="9"/>
      <c r="J53" s="9"/>
      <c r="K53" s="2"/>
      <c r="L53" s="9"/>
      <c r="M53" s="21"/>
      <c r="N53" s="36"/>
      <c r="O53" s="3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49</v>
      </c>
      <c r="C54" s="2"/>
      <c r="D54" s="9"/>
      <c r="E54" s="9"/>
      <c r="F54" s="9"/>
      <c r="H54" s="9"/>
      <c r="I54" s="9"/>
      <c r="J54" s="9"/>
      <c r="K54" s="2"/>
      <c r="L54" s="9"/>
      <c r="T54" s="2"/>
      <c r="U54" s="2"/>
      <c r="V54" s="2"/>
      <c r="W54" s="2"/>
      <c r="X54" s="2"/>
      <c r="Y54" s="2"/>
      <c r="Z54" s="2"/>
    </row>
    <row r="55" ht="15.75" customHeight="1">
      <c r="A55" s="18" t="s">
        <v>50</v>
      </c>
      <c r="B55" s="2" t="str">
        <f t="array" ref="B55">INDIRECT(ADDRESS(ROW($B$1),COLUMN($B$1),4,TRUE,A55))</f>
        <v>Funktionärer</v>
      </c>
      <c r="C55" s="2"/>
      <c r="D55" s="19">
        <f t="shared" ref="D55:D61" si="62">INDIRECT(ADDRESS(ROW($J$6),COLUMN($J$6),4,TRUE,$A55))</f>
        <v>0</v>
      </c>
      <c r="E55" s="19">
        <f t="shared" ref="E55:E61" si="63">INDIRECT(ADDRESS(ROW($J$7),COLUMN($J$7),4,TRUE,$A55))</f>
        <v>4000</v>
      </c>
      <c r="F55" s="11">
        <f t="shared" ref="F55:F61" si="64">D55-E55</f>
        <v>-4000</v>
      </c>
      <c r="H55" s="19">
        <f t="shared" ref="H55:H61" si="65">INDIRECT(ADDRESS(ROW($L$6),COLUMN($L$6),4,TRUE,$A55))</f>
        <v>0</v>
      </c>
      <c r="I55" s="19">
        <f t="shared" ref="I55:I61" si="66">INDIRECT(ADDRESS(ROW($L$7),COLUMN($L$7),4,TRUE,$A55))</f>
        <v>5000</v>
      </c>
      <c r="J55" s="11">
        <f t="shared" ref="J55:J61" si="67">H55-I55</f>
        <v>-5000</v>
      </c>
      <c r="K55" s="2"/>
      <c r="L55" s="11"/>
      <c r="T55" s="2"/>
      <c r="U55" s="2"/>
      <c r="V55" s="2"/>
      <c r="W55" s="2"/>
      <c r="X55" s="2"/>
      <c r="Y55" s="2"/>
      <c r="Z55" s="2"/>
    </row>
    <row r="56" ht="15.75" customHeight="1">
      <c r="A56" s="18" t="s">
        <v>51</v>
      </c>
      <c r="B56" s="2" t="str">
        <f t="shared" ref="B56:B57" si="68">INDIRECT(ADDRESS(ROW($B$1),COLUMN($B$1),4,TRUE,$A56))</f>
        <v>Sektionsmöte</v>
      </c>
      <c r="C56" s="2"/>
      <c r="D56" s="19">
        <f t="shared" si="62"/>
        <v>0</v>
      </c>
      <c r="E56" s="19">
        <f t="shared" si="63"/>
        <v>23000</v>
      </c>
      <c r="F56" s="11">
        <f t="shared" si="64"/>
        <v>-23000</v>
      </c>
      <c r="H56" s="19">
        <f t="shared" si="65"/>
        <v>0</v>
      </c>
      <c r="I56" s="19">
        <f t="shared" si="66"/>
        <v>23000</v>
      </c>
      <c r="J56" s="11">
        <f t="shared" si="67"/>
        <v>-23000</v>
      </c>
      <c r="K56" s="2"/>
      <c r="L56" s="11"/>
      <c r="T56" s="2"/>
      <c r="U56" s="2"/>
      <c r="V56" s="2"/>
      <c r="W56" s="2"/>
      <c r="X56" s="2"/>
      <c r="Y56" s="2"/>
      <c r="Z56" s="2"/>
    </row>
    <row r="57" ht="15.75" customHeight="1">
      <c r="A57" s="18" t="s">
        <v>52</v>
      </c>
      <c r="B57" s="2" t="str">
        <f t="shared" si="68"/>
        <v>Tack</v>
      </c>
      <c r="C57" s="2"/>
      <c r="D57" s="19">
        <f t="shared" si="62"/>
        <v>0</v>
      </c>
      <c r="E57" s="19">
        <f t="shared" si="63"/>
        <v>828</v>
      </c>
      <c r="F57" s="11">
        <f t="shared" si="64"/>
        <v>-828</v>
      </c>
      <c r="H57" s="19">
        <f t="shared" si="65"/>
        <v>0</v>
      </c>
      <c r="I57" s="19">
        <f t="shared" si="66"/>
        <v>2706</v>
      </c>
      <c r="J57" s="11">
        <f t="shared" si="67"/>
        <v>-2706</v>
      </c>
      <c r="K57" s="2"/>
      <c r="L57" s="11"/>
      <c r="T57" s="2"/>
      <c r="U57" s="2"/>
      <c r="V57" s="2"/>
      <c r="W57" s="2"/>
      <c r="X57" s="2"/>
      <c r="Y57" s="2"/>
      <c r="Z57" s="2"/>
    </row>
    <row r="58" ht="15.75" customHeight="1">
      <c r="A58" s="18" t="s">
        <v>53</v>
      </c>
      <c r="B58" s="38" t="str">
        <f t="shared" ref="B58:B59" si="69">INDIRECT(ADDRESS(ROW($B$1),COLUMN($B$1),4,TRUE,A58))</f>
        <v>Gemensamma kostnader</v>
      </c>
      <c r="C58" s="2"/>
      <c r="D58" s="19">
        <f t="shared" si="62"/>
        <v>0</v>
      </c>
      <c r="E58" s="19">
        <f t="shared" si="63"/>
        <v>71395</v>
      </c>
      <c r="F58" s="11">
        <f t="shared" si="64"/>
        <v>-71395</v>
      </c>
      <c r="H58" s="19">
        <f t="shared" si="65"/>
        <v>0</v>
      </c>
      <c r="I58" s="19">
        <f t="shared" si="66"/>
        <v>65692</v>
      </c>
      <c r="J58" s="11">
        <f t="shared" si="67"/>
        <v>-65692</v>
      </c>
      <c r="K58" s="2"/>
      <c r="L58" s="11"/>
      <c r="T58" s="2"/>
      <c r="U58" s="2"/>
      <c r="V58" s="2"/>
      <c r="W58" s="2"/>
      <c r="X58" s="2"/>
      <c r="Y58" s="2"/>
      <c r="Z58" s="2"/>
    </row>
    <row r="59" ht="15.75" customHeight="1">
      <c r="A59" s="18" t="s">
        <v>54</v>
      </c>
      <c r="B59" s="2" t="str">
        <f t="shared" si="69"/>
        <v>Administration</v>
      </c>
      <c r="C59" s="2"/>
      <c r="D59" s="19">
        <f t="shared" si="62"/>
        <v>45000</v>
      </c>
      <c r="E59" s="19">
        <f t="shared" si="63"/>
        <v>29000</v>
      </c>
      <c r="F59" s="11">
        <f t="shared" si="64"/>
        <v>16000</v>
      </c>
      <c r="H59" s="19">
        <f t="shared" si="65"/>
        <v>43850</v>
      </c>
      <c r="I59" s="19">
        <f t="shared" si="66"/>
        <v>21000</v>
      </c>
      <c r="J59" s="11">
        <f t="shared" si="67"/>
        <v>22850</v>
      </c>
      <c r="K59" s="2"/>
      <c r="L59" s="11"/>
      <c r="M59" s="11"/>
      <c r="N59" s="1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8" t="s">
        <v>55</v>
      </c>
      <c r="B60" s="2" t="str">
        <f>SEKT07!B1</f>
        <v>Jobbardricka</v>
      </c>
      <c r="C60" s="2"/>
      <c r="D60" s="19">
        <f t="shared" si="62"/>
        <v>0</v>
      </c>
      <c r="E60" s="19">
        <f t="shared" si="63"/>
        <v>36476.14</v>
      </c>
      <c r="F60" s="11">
        <f t="shared" si="64"/>
        <v>-36476.14</v>
      </c>
      <c r="H60" s="19">
        <f t="shared" si="65"/>
        <v>0</v>
      </c>
      <c r="I60" s="19">
        <f t="shared" si="66"/>
        <v>66550</v>
      </c>
      <c r="J60" s="11">
        <f t="shared" si="67"/>
        <v>-66550</v>
      </c>
      <c r="K60" s="2"/>
      <c r="L60" s="11"/>
      <c r="M60" s="11"/>
      <c r="N60" s="1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8" t="s">
        <v>56</v>
      </c>
      <c r="B61" s="2" t="str">
        <f t="array" ref="B61">INDIRECT(ADDRESS(ROW($B$1),COLUMN($B$1),4,TRUE,$A61))</f>
        <v>Fonder</v>
      </c>
      <c r="C61" s="2"/>
      <c r="D61" s="19">
        <f t="shared" si="62"/>
        <v>0</v>
      </c>
      <c r="E61" s="19">
        <f t="shared" si="63"/>
        <v>0</v>
      </c>
      <c r="F61" s="11">
        <f t="shared" si="64"/>
        <v>0</v>
      </c>
      <c r="H61" s="19">
        <f t="shared" si="65"/>
        <v>0</v>
      </c>
      <c r="I61" s="19">
        <f t="shared" si="66"/>
        <v>0</v>
      </c>
      <c r="J61" s="11">
        <f t="shared" si="67"/>
        <v>0</v>
      </c>
      <c r="K61" s="2"/>
      <c r="L61" s="11"/>
      <c r="M61" s="11"/>
      <c r="N61" s="1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7" t="s">
        <v>57</v>
      </c>
      <c r="B62" s="28"/>
      <c r="C62" s="29"/>
      <c r="D62" s="30">
        <f>SUM(D55:D61)</f>
        <v>45000</v>
      </c>
      <c r="E62" s="30">
        <f>SUM($E55:$E61)</f>
        <v>164699.14</v>
      </c>
      <c r="F62" s="30">
        <f>SUM(F55:F61)</f>
        <v>-119699.14</v>
      </c>
      <c r="G62" s="31"/>
      <c r="H62" s="30">
        <f t="shared" ref="H62:J62" si="70">SUM(H55:H61)</f>
        <v>43850</v>
      </c>
      <c r="I62" s="30">
        <f t="shared" si="70"/>
        <v>183948</v>
      </c>
      <c r="J62" s="30">
        <f t="shared" si="70"/>
        <v>-140098</v>
      </c>
      <c r="K62" s="2"/>
      <c r="L62" s="11"/>
      <c r="M62" s="11"/>
      <c r="N62" s="1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/>
      <c r="B63" s="2"/>
      <c r="C63" s="2"/>
      <c r="D63" s="9"/>
      <c r="E63" s="9"/>
      <c r="F63" s="9"/>
      <c r="H63" s="9"/>
      <c r="I63" s="9"/>
      <c r="J63" s="9"/>
      <c r="K63" s="2"/>
      <c r="L63" s="9"/>
      <c r="M63" s="9"/>
      <c r="N63" s="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 t="s">
        <v>58</v>
      </c>
      <c r="C64" s="2"/>
      <c r="D64" s="9"/>
      <c r="E64" s="9"/>
      <c r="F64" s="9"/>
      <c r="H64" s="9"/>
      <c r="I64" s="9"/>
      <c r="J64" s="9"/>
      <c r="K64" s="2"/>
      <c r="L64" s="9"/>
      <c r="M64" s="9"/>
      <c r="N64" s="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8" t="s">
        <v>59</v>
      </c>
      <c r="B65" s="2" t="str">
        <f t="shared" ref="B65:B70" si="71">INDIRECT(ADDRESS(ROW(B$1),COLUMN($B$1),4,TRUE,$A65))</f>
        <v>Funktionärer</v>
      </c>
      <c r="C65" s="2"/>
      <c r="D65" s="19">
        <f t="shared" ref="D65:D70" si="72">INDIRECT(ADDRESS(ROW($J$6),COLUMN($J$6),4,TRUE,$A65))</f>
        <v>0</v>
      </c>
      <c r="E65" s="19">
        <f t="shared" ref="E65:E70" si="73">INDIRECT(ADDRESS(ROW($J$7),COLUMN($J$7),4,TRUE,$A65))</f>
        <v>39091</v>
      </c>
      <c r="F65" s="11">
        <f t="shared" ref="F65:F70" si="74">D65-E65</f>
        <v>-39091</v>
      </c>
      <c r="H65" s="19">
        <f t="shared" ref="H65:H70" si="75">INDIRECT(ADDRESS(ROW($L$6),COLUMN($L$6),4,TRUE,$A65))</f>
        <v>0</v>
      </c>
      <c r="I65" s="19">
        <f t="shared" ref="I65:I70" si="76">INDIRECT(ADDRESS(ROW($L$7),COLUMN($L$7),4,TRUE,$A65))</f>
        <v>45350</v>
      </c>
      <c r="J65" s="11">
        <f t="shared" ref="J65:J70" si="77">H65-I65</f>
        <v>-45350</v>
      </c>
      <c r="K65" s="2"/>
      <c r="L65" s="11"/>
      <c r="M65" s="11"/>
      <c r="N65" s="1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8" t="s">
        <v>60</v>
      </c>
      <c r="B66" s="2" t="str">
        <f t="shared" si="71"/>
        <v>Sittningar</v>
      </c>
      <c r="C66" s="2"/>
      <c r="D66" s="19">
        <f t="shared" si="72"/>
        <v>560705.0151</v>
      </c>
      <c r="E66" s="19">
        <f t="shared" si="73"/>
        <v>522280.8611</v>
      </c>
      <c r="F66" s="11">
        <f t="shared" si="74"/>
        <v>38424.15397</v>
      </c>
      <c r="H66" s="19">
        <f t="shared" si="75"/>
        <v>390500</v>
      </c>
      <c r="I66" s="19">
        <f t="shared" si="76"/>
        <v>324900</v>
      </c>
      <c r="J66" s="11">
        <f t="shared" si="77"/>
        <v>65600</v>
      </c>
      <c r="K66" s="2"/>
      <c r="L66" s="11"/>
      <c r="M66" s="11"/>
      <c r="N66" s="1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61</v>
      </c>
      <c r="B67" s="2" t="str">
        <f t="shared" si="71"/>
        <v>Pubar</v>
      </c>
      <c r="C67" s="2"/>
      <c r="D67" s="19">
        <f t="shared" si="72"/>
        <v>154916.2676</v>
      </c>
      <c r="E67" s="19">
        <f t="shared" si="73"/>
        <v>159248.1821</v>
      </c>
      <c r="F67" s="11">
        <f t="shared" si="74"/>
        <v>-4331.914417</v>
      </c>
      <c r="H67" s="19">
        <f t="shared" si="75"/>
        <v>127700</v>
      </c>
      <c r="I67" s="19">
        <f t="shared" si="76"/>
        <v>121850</v>
      </c>
      <c r="J67" s="11">
        <f t="shared" si="77"/>
        <v>5850</v>
      </c>
      <c r="K67" s="2"/>
      <c r="L67" s="11"/>
      <c r="M67" s="11"/>
      <c r="N67" s="1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62</v>
      </c>
      <c r="B68" s="2" t="str">
        <f t="shared" si="71"/>
        <v>Nollegasque</v>
      </c>
      <c r="C68" s="2"/>
      <c r="D68" s="19">
        <f t="shared" si="72"/>
        <v>215352.6614</v>
      </c>
      <c r="E68" s="19">
        <f t="shared" si="73"/>
        <v>161285.9458</v>
      </c>
      <c r="F68" s="11">
        <f t="shared" si="74"/>
        <v>54066.71559</v>
      </c>
      <c r="H68" s="19">
        <f t="shared" si="75"/>
        <v>184126</v>
      </c>
      <c r="I68" s="19">
        <f t="shared" si="76"/>
        <v>155940</v>
      </c>
      <c r="J68" s="11">
        <f t="shared" si="77"/>
        <v>28186</v>
      </c>
      <c r="K68" s="2"/>
      <c r="L68" s="11"/>
      <c r="M68" s="11"/>
      <c r="N68" s="1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63</v>
      </c>
      <c r="B69" s="2" t="str">
        <f t="shared" si="71"/>
        <v>Skiphtesgasque</v>
      </c>
      <c r="C69" s="2"/>
      <c r="D69" s="19">
        <f t="shared" si="72"/>
        <v>42970.2417</v>
      </c>
      <c r="E69" s="19">
        <f t="shared" si="73"/>
        <v>82705.30855</v>
      </c>
      <c r="F69" s="11">
        <f t="shared" si="74"/>
        <v>-39735.06685</v>
      </c>
      <c r="H69" s="19">
        <f t="shared" si="75"/>
        <v>69415</v>
      </c>
      <c r="I69" s="19">
        <f t="shared" si="76"/>
        <v>83850</v>
      </c>
      <c r="J69" s="11">
        <f t="shared" si="77"/>
        <v>-14435</v>
      </c>
      <c r="K69" s="2"/>
      <c r="L69" s="11"/>
      <c r="M69" s="11"/>
      <c r="N69" s="11"/>
      <c r="O69" s="9"/>
      <c r="P69" s="9"/>
      <c r="Q69" s="2"/>
      <c r="R69" s="2"/>
      <c r="S69" s="10"/>
      <c r="T69" s="11"/>
      <c r="U69" s="2"/>
      <c r="V69" s="2"/>
      <c r="W69" s="2"/>
      <c r="X69" s="2"/>
      <c r="Y69" s="2"/>
      <c r="Z69" s="2"/>
    </row>
    <row r="70" ht="15.75" customHeight="1">
      <c r="A70" s="18" t="s">
        <v>64</v>
      </c>
      <c r="B70" s="2" t="str">
        <f t="shared" si="71"/>
        <v>UtEDischot</v>
      </c>
      <c r="C70" s="2"/>
      <c r="D70" s="19">
        <f t="shared" si="72"/>
        <v>92034.05916</v>
      </c>
      <c r="E70" s="19">
        <f t="shared" si="73"/>
        <v>63769.90313</v>
      </c>
      <c r="F70" s="11">
        <f t="shared" si="74"/>
        <v>28264.15603</v>
      </c>
      <c r="H70" s="19">
        <f t="shared" si="75"/>
        <v>148650</v>
      </c>
      <c r="I70" s="19">
        <f t="shared" si="76"/>
        <v>95514</v>
      </c>
      <c r="J70" s="11">
        <f t="shared" si="77"/>
        <v>53136</v>
      </c>
      <c r="K70" s="2"/>
      <c r="L70" s="11"/>
      <c r="M70" s="11"/>
      <c r="N70" s="11"/>
      <c r="O70" s="17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7" t="s">
        <v>65</v>
      </c>
      <c r="B71" s="28"/>
      <c r="C71" s="29"/>
      <c r="D71" s="30">
        <f>sum(D65:D70)</f>
        <v>1065978.245</v>
      </c>
      <c r="E71" s="30">
        <f>SUM(E65:E70)</f>
        <v>1028381.201</v>
      </c>
      <c r="F71" s="30">
        <f>sum(F65:F70)</f>
        <v>37597.04431</v>
      </c>
      <c r="G71" s="31"/>
      <c r="H71" s="30">
        <f>sum(H65:H70)</f>
        <v>920391</v>
      </c>
      <c r="I71" s="30">
        <f>SUM(I65:I70)</f>
        <v>827404</v>
      </c>
      <c r="J71" s="30">
        <f>sum(J65:J70)</f>
        <v>92987</v>
      </c>
      <c r="K71" s="2"/>
      <c r="L71" s="11"/>
      <c r="M71" s="11"/>
      <c r="N71" s="11"/>
      <c r="O71" s="17"/>
      <c r="P71" s="9"/>
      <c r="Q71" s="2"/>
      <c r="R71" s="2"/>
      <c r="S71" s="10"/>
      <c r="T71" s="2"/>
      <c r="U71" s="2"/>
      <c r="V71" s="2"/>
      <c r="W71" s="2"/>
      <c r="X71" s="2"/>
      <c r="Y71" s="2"/>
      <c r="Z71" s="2"/>
    </row>
    <row r="72" ht="15.75" customHeight="1">
      <c r="A72" s="4"/>
      <c r="B72" s="2"/>
      <c r="C72" s="2"/>
      <c r="D72" s="9"/>
      <c r="E72" s="9"/>
      <c r="F72" s="9"/>
      <c r="H72" s="9"/>
      <c r="I72" s="9"/>
      <c r="J72" s="9"/>
      <c r="K72" s="2"/>
      <c r="L72" s="9"/>
      <c r="M72" s="9"/>
      <c r="N72" s="9"/>
      <c r="O72" s="21"/>
      <c r="P72" s="21"/>
      <c r="Q72" s="22"/>
      <c r="R72" s="2"/>
      <c r="S72" s="22"/>
      <c r="T72" s="22"/>
      <c r="U72" s="10"/>
      <c r="V72" s="2"/>
      <c r="W72" s="2"/>
      <c r="X72" s="2"/>
      <c r="Y72" s="2"/>
      <c r="Z72" s="2"/>
    </row>
    <row r="73" ht="15.75" customHeight="1">
      <c r="A73" s="1" t="s">
        <v>66</v>
      </c>
      <c r="C73" s="2"/>
      <c r="D73" s="9"/>
      <c r="E73" s="9"/>
      <c r="F73" s="9"/>
      <c r="H73" s="9"/>
      <c r="I73" s="9"/>
      <c r="J73" s="9"/>
      <c r="K73" s="2"/>
      <c r="L73" s="9"/>
      <c r="M73" s="9"/>
      <c r="N73" s="9"/>
      <c r="O73" s="9"/>
      <c r="P73" s="24"/>
      <c r="Q73" s="11"/>
      <c r="R73" s="2"/>
      <c r="S73" s="2"/>
      <c r="T73" s="14"/>
      <c r="U73" s="11"/>
      <c r="V73" s="2"/>
      <c r="W73" s="2"/>
      <c r="X73" s="2"/>
      <c r="Y73" s="2"/>
      <c r="Z73" s="2"/>
    </row>
    <row r="74" ht="15.75" customHeight="1">
      <c r="A74" s="18" t="s">
        <v>67</v>
      </c>
      <c r="B74" s="2" t="str">
        <f t="array" ref="B74">INDIRECT(ADDRESS(ROW(B$1),COLUMN(B$1),4,TRUE,$A74))</f>
        <v>Funktionärer</v>
      </c>
      <c r="C74" s="2"/>
      <c r="D74" s="19">
        <f t="shared" ref="D74:D75" si="78">INDIRECT(ADDRESS(ROW($J$6),COLUMN($J$6),4,TRUE,$A74))</f>
        <v>0</v>
      </c>
      <c r="E74" s="19">
        <f t="shared" ref="E74:E75" si="79">INDIRECT(ADDRESS(ROW($J$7),COLUMN($J$7),4,TRUE,$A74))</f>
        <v>1242</v>
      </c>
      <c r="F74" s="11">
        <f t="shared" ref="F74:F75" si="80">D74-E74</f>
        <v>-1242</v>
      </c>
      <c r="H74" s="19">
        <f t="shared" ref="H74:H75" si="81">INDIRECT(ADDRESS(ROW($L$6),COLUMN($L$6),4,TRUE,$A74))</f>
        <v>0</v>
      </c>
      <c r="I74" s="19">
        <f t="shared" ref="I74:I75" si="82">INDIRECT(ADDRESS(ROW($L$7),COLUMN($L$7),4,TRUE,$A74))</f>
        <v>3820</v>
      </c>
      <c r="J74" s="11">
        <f t="shared" ref="J74:J75" si="83">H74-I74</f>
        <v>-3820</v>
      </c>
      <c r="K74" s="2"/>
      <c r="L74" s="11"/>
      <c r="M74" s="11"/>
      <c r="N74" s="11"/>
      <c r="O74" s="9"/>
      <c r="P74" s="24"/>
      <c r="Q74" s="11"/>
      <c r="R74" s="2"/>
      <c r="S74" s="2"/>
      <c r="T74" s="14"/>
      <c r="U74" s="11"/>
      <c r="V74" s="2"/>
      <c r="W74" s="2"/>
      <c r="X74" s="2"/>
      <c r="Y74" s="2"/>
      <c r="Z74" s="2"/>
    </row>
    <row r="75" ht="15.75" customHeight="1">
      <c r="A75" s="18" t="s">
        <v>68</v>
      </c>
      <c r="B75" s="2" t="str">
        <f t="array" ref="B75">INDIRECT(ADDRESS(ROW($B$1),COLUMN($B$1),4,TRUE,$A75))</f>
        <v>Avgifter</v>
      </c>
      <c r="C75" s="2"/>
      <c r="D75" s="19">
        <f t="shared" si="78"/>
        <v>3255</v>
      </c>
      <c r="E75" s="19">
        <f t="shared" si="79"/>
        <v>76958.75</v>
      </c>
      <c r="F75" s="11">
        <f t="shared" si="80"/>
        <v>-73703.75</v>
      </c>
      <c r="H75" s="19">
        <f t="shared" si="81"/>
        <v>2376</v>
      </c>
      <c r="I75" s="19">
        <f t="shared" si="82"/>
        <v>50394</v>
      </c>
      <c r="J75" s="11">
        <f t="shared" si="83"/>
        <v>-48018</v>
      </c>
      <c r="K75" s="2"/>
      <c r="L75" s="11"/>
      <c r="M75" s="11"/>
      <c r="N75" s="11"/>
      <c r="O75" s="9"/>
      <c r="P75" s="24"/>
      <c r="Q75" s="11"/>
      <c r="R75" s="2"/>
      <c r="S75" s="2"/>
      <c r="T75" s="14"/>
      <c r="U75" s="11"/>
      <c r="V75" s="2"/>
      <c r="W75" s="2"/>
      <c r="X75" s="2"/>
      <c r="Y75" s="2"/>
      <c r="Z75" s="2"/>
    </row>
    <row r="76" ht="15.75" customHeight="1">
      <c r="A76" s="27" t="s">
        <v>69</v>
      </c>
      <c r="B76" s="28"/>
      <c r="C76" s="29"/>
      <c r="D76" s="30">
        <f t="shared" ref="D76:F76" si="84">sum(D74:D75)</f>
        <v>3255</v>
      </c>
      <c r="E76" s="30">
        <f t="shared" si="84"/>
        <v>78200.75</v>
      </c>
      <c r="F76" s="30">
        <f t="shared" si="84"/>
        <v>-74945.75</v>
      </c>
      <c r="G76" s="31"/>
      <c r="H76" s="30">
        <f t="shared" ref="H76:J76" si="85">sum(H74:H75)</f>
        <v>2376</v>
      </c>
      <c r="I76" s="30">
        <f t="shared" si="85"/>
        <v>54214</v>
      </c>
      <c r="J76" s="30">
        <f t="shared" si="85"/>
        <v>-51838</v>
      </c>
      <c r="K76" s="2"/>
      <c r="L76" s="11"/>
      <c r="M76" s="11"/>
      <c r="N76" s="11"/>
      <c r="O76" s="9"/>
      <c r="P76" s="24"/>
      <c r="Q76" s="11"/>
      <c r="R76" s="2"/>
      <c r="S76" s="2"/>
      <c r="T76" s="14"/>
      <c r="U76" s="11"/>
      <c r="V76" s="2"/>
      <c r="W76" s="2"/>
      <c r="X76" s="2"/>
      <c r="Y76" s="2"/>
      <c r="Z76" s="2"/>
    </row>
    <row r="77" ht="15.75" customHeight="1">
      <c r="A77" s="4"/>
      <c r="B77" s="2"/>
      <c r="C77" s="2"/>
      <c r="D77" s="9"/>
      <c r="E77" s="9"/>
      <c r="F77" s="9"/>
      <c r="H77" s="9"/>
      <c r="I77" s="9"/>
      <c r="J77" s="9"/>
      <c r="K77" s="2"/>
      <c r="L77" s="9"/>
      <c r="M77" s="9"/>
      <c r="N77" s="9"/>
      <c r="O77" s="9"/>
      <c r="P77" s="24"/>
      <c r="Q77" s="11"/>
      <c r="R77" s="2"/>
      <c r="S77" s="2"/>
      <c r="T77" s="14"/>
      <c r="U77" s="11"/>
      <c r="V77" s="2"/>
      <c r="W77" s="2"/>
      <c r="X77" s="2"/>
      <c r="Y77" s="2"/>
      <c r="Z77" s="2"/>
    </row>
    <row r="78" ht="15.75" customHeight="1">
      <c r="A78" s="1" t="s">
        <v>70</v>
      </c>
      <c r="C78" s="2"/>
      <c r="D78" s="9"/>
      <c r="E78" s="9"/>
      <c r="F78" s="9"/>
      <c r="H78" s="9"/>
      <c r="I78" s="9"/>
      <c r="J78" s="9"/>
      <c r="K78" s="2"/>
      <c r="L78" s="9"/>
      <c r="M78" s="9"/>
      <c r="N78" s="9"/>
      <c r="O78" s="9"/>
      <c r="P78" s="24"/>
      <c r="Q78" s="11"/>
      <c r="R78" s="2"/>
      <c r="S78" s="2"/>
      <c r="T78" s="14"/>
      <c r="U78" s="11"/>
      <c r="V78" s="2"/>
      <c r="W78" s="2"/>
      <c r="X78" s="2"/>
      <c r="Y78" s="2"/>
      <c r="Z78" s="2"/>
    </row>
    <row r="79" ht="15.75" customHeight="1">
      <c r="A79" s="18" t="s">
        <v>71</v>
      </c>
      <c r="B79" s="2" t="str">
        <f t="shared" ref="B79:B80" si="86">INDIRECT(ADDRESS(ROW($B$1),COLUMN($B$1),4,TRUE,$A79))</f>
        <v>Funktionärer</v>
      </c>
      <c r="C79" s="2"/>
      <c r="D79" s="19">
        <f t="shared" ref="D79:D80" si="87">INDIRECT(ADDRESS(ROW($J$6),COLUMN($J$6),4,TRUE,$A79))</f>
        <v>0</v>
      </c>
      <c r="E79" s="19">
        <f t="shared" ref="E79:E80" si="88">INDIRECT(ADDRESS(ROW($J$7),COLUMN($J$7),4,TRUE,$A79))</f>
        <v>8487</v>
      </c>
      <c r="F79" s="11">
        <f t="shared" ref="F79:F80" si="89">D79-E79</f>
        <v>-8487</v>
      </c>
      <c r="H79" s="19">
        <f t="shared" ref="H79:H80" si="90">INDIRECT(ADDRESS(ROW($L$6),COLUMN($L$6),4,TRUE,$A79))</f>
        <v>0</v>
      </c>
      <c r="I79" s="19">
        <f t="shared" ref="I79:I80" si="91">INDIRECT(ADDRESS(ROW($L$7),COLUMN($L$7),4,TRUE,$A79))</f>
        <v>22924</v>
      </c>
      <c r="J79" s="11">
        <f t="shared" ref="J79:J80" si="92">H79-I79</f>
        <v>-22924</v>
      </c>
      <c r="K79" s="2"/>
      <c r="L79" s="11"/>
      <c r="M79" s="11"/>
      <c r="N79" s="11"/>
      <c r="O79" s="9"/>
      <c r="P79" s="24"/>
      <c r="Q79" s="11"/>
      <c r="R79" s="2"/>
      <c r="S79" s="2"/>
      <c r="T79" s="14"/>
      <c r="U79" s="11"/>
      <c r="V79" s="2"/>
      <c r="W79" s="2"/>
      <c r="X79" s="2"/>
      <c r="Y79" s="2"/>
      <c r="Z79" s="2"/>
    </row>
    <row r="80" ht="15.75" customHeight="1">
      <c r="A80" s="18" t="s">
        <v>72</v>
      </c>
      <c r="B80" s="2" t="str">
        <f t="shared" si="86"/>
        <v>Aktiviteter</v>
      </c>
      <c r="C80" s="2"/>
      <c r="D80" s="19">
        <f t="shared" si="87"/>
        <v>22200</v>
      </c>
      <c r="E80" s="19">
        <f t="shared" si="88"/>
        <v>24500</v>
      </c>
      <c r="F80" s="11">
        <f t="shared" si="89"/>
        <v>-2300</v>
      </c>
      <c r="H80" s="19">
        <f t="shared" si="90"/>
        <v>14700</v>
      </c>
      <c r="I80" s="19">
        <f t="shared" si="91"/>
        <v>40500</v>
      </c>
      <c r="J80" s="11">
        <f t="shared" si="92"/>
        <v>-25800</v>
      </c>
      <c r="K80" s="2"/>
      <c r="L80" s="11"/>
      <c r="M80" s="11"/>
      <c r="N80" s="11"/>
      <c r="O80" s="9"/>
      <c r="P80" s="24"/>
      <c r="Q80" s="11"/>
      <c r="R80" s="2"/>
      <c r="S80" s="2"/>
      <c r="T80" s="14"/>
      <c r="U80" s="11"/>
      <c r="V80" s="2"/>
      <c r="W80" s="2"/>
      <c r="X80" s="2"/>
      <c r="Y80" s="2"/>
      <c r="Z80" s="2"/>
    </row>
    <row r="81" ht="15.75" customHeight="1">
      <c r="A81" s="27" t="s">
        <v>73</v>
      </c>
      <c r="B81" s="28"/>
      <c r="C81" s="29"/>
      <c r="D81" s="30">
        <f t="shared" ref="D81:F81" si="93">sum(D79:D80)</f>
        <v>22200</v>
      </c>
      <c r="E81" s="30">
        <f t="shared" si="93"/>
        <v>32987</v>
      </c>
      <c r="F81" s="30">
        <f t="shared" si="93"/>
        <v>-10787</v>
      </c>
      <c r="G81" s="31"/>
      <c r="H81" s="30">
        <f t="shared" ref="H81:J81" si="94">sum(H79:H80)</f>
        <v>14700</v>
      </c>
      <c r="I81" s="30">
        <f t="shared" si="94"/>
        <v>63424</v>
      </c>
      <c r="J81" s="30">
        <f t="shared" si="94"/>
        <v>-48724</v>
      </c>
      <c r="K81" s="2"/>
      <c r="L81" s="11"/>
      <c r="M81" s="11"/>
      <c r="N81" s="11"/>
      <c r="O81" s="9"/>
      <c r="P81" s="24"/>
      <c r="Q81" s="11"/>
      <c r="R81" s="2"/>
      <c r="S81" s="2"/>
      <c r="T81" s="14"/>
      <c r="U81" s="11"/>
      <c r="V81" s="2"/>
      <c r="W81" s="2"/>
      <c r="X81" s="2"/>
      <c r="Y81" s="2"/>
      <c r="Z81" s="2"/>
    </row>
    <row r="82" ht="15.75" customHeight="1">
      <c r="A82" s="4"/>
      <c r="B82" s="2"/>
      <c r="C82" s="2"/>
      <c r="D82" s="9"/>
      <c r="E82" s="9"/>
      <c r="F82" s="9"/>
      <c r="H82" s="9"/>
      <c r="I82" s="9"/>
      <c r="J82" s="9"/>
      <c r="K82" s="2"/>
      <c r="L82" s="9"/>
      <c r="M82" s="9"/>
      <c r="N82" s="9"/>
      <c r="O82" s="9"/>
      <c r="P82" s="24"/>
      <c r="Q82" s="11"/>
      <c r="R82" s="2"/>
      <c r="S82" s="2"/>
      <c r="T82" s="14"/>
      <c r="U82" s="11"/>
      <c r="V82" s="2"/>
      <c r="W82" s="2"/>
      <c r="X82" s="2"/>
      <c r="Y82" s="2"/>
      <c r="Z82" s="2"/>
    </row>
    <row r="83" ht="15.75" customHeight="1">
      <c r="A83" s="1" t="s">
        <v>74</v>
      </c>
      <c r="C83" s="2"/>
      <c r="D83" s="9"/>
      <c r="E83" s="9"/>
      <c r="F83" s="9"/>
      <c r="H83" s="9"/>
      <c r="I83" s="9"/>
      <c r="J83" s="9"/>
      <c r="K83" s="2"/>
      <c r="L83" s="9"/>
      <c r="M83" s="9"/>
      <c r="N83" s="9"/>
      <c r="O83" s="9"/>
      <c r="P83" s="24"/>
      <c r="Q83" s="11"/>
      <c r="R83" s="2"/>
      <c r="S83" s="2"/>
      <c r="T83" s="14"/>
      <c r="U83" s="11"/>
      <c r="V83" s="2"/>
      <c r="W83" s="2"/>
      <c r="X83" s="2"/>
      <c r="Y83" s="2"/>
      <c r="Z83" s="2"/>
    </row>
    <row r="84" ht="15.75" customHeight="1">
      <c r="A84" s="18" t="s">
        <v>75</v>
      </c>
      <c r="B84" s="2" t="str">
        <f t="array" ref="B84">INDIRECT(ADDRESS(ROW($B$1),COLUMN($B$1),4,TRUE,$A84))</f>
        <v>Funktionärer</v>
      </c>
      <c r="C84" s="2"/>
      <c r="D84" s="19">
        <f t="array" ref="D84">INDIRECT(ADDRESS(ROW($J$6),COLUMN($J$6),4,TRUE,$A84))</f>
        <v>0</v>
      </c>
      <c r="E84" s="19">
        <f t="array" ref="E84">INDIRECT(ADDRESS(ROW($J$7),COLUMN($J$7),4,TRUE,$A84))</f>
        <v>5114</v>
      </c>
      <c r="F84" s="11">
        <f>D84-E84</f>
        <v>-5114</v>
      </c>
      <c r="H84" s="19">
        <f t="array" ref="H84">INDIRECT(ADDRESS(ROW($L$6),COLUMN($L$6),4,TRUE,$A84))</f>
        <v>0</v>
      </c>
      <c r="I84" s="19">
        <f t="array" ref="I84">INDIRECT(ADDRESS(ROW($L$7),COLUMN($L$7),4,TRUE,$A84))</f>
        <v>9228</v>
      </c>
      <c r="J84" s="11">
        <f>H84-I84</f>
        <v>-9228</v>
      </c>
      <c r="K84" s="2"/>
      <c r="L84" s="11"/>
      <c r="M84" s="11"/>
      <c r="N84" s="11"/>
      <c r="O84" s="9"/>
      <c r="P84" s="24"/>
      <c r="Q84" s="11"/>
      <c r="R84" s="2"/>
      <c r="S84" s="2"/>
      <c r="T84" s="14"/>
      <c r="U84" s="11"/>
      <c r="V84" s="2"/>
      <c r="W84" s="2"/>
      <c r="X84" s="2"/>
      <c r="Y84" s="2"/>
      <c r="Z84" s="2"/>
    </row>
    <row r="85" ht="15.75" customHeight="1">
      <c r="A85" s="27" t="s">
        <v>76</v>
      </c>
      <c r="B85" s="28"/>
      <c r="C85" s="29"/>
      <c r="D85" s="30">
        <f t="shared" ref="D85:F85" si="95">sum(D84)</f>
        <v>0</v>
      </c>
      <c r="E85" s="30">
        <f t="shared" si="95"/>
        <v>5114</v>
      </c>
      <c r="F85" s="30">
        <f t="shared" si="95"/>
        <v>-5114</v>
      </c>
      <c r="G85" s="31"/>
      <c r="H85" s="30">
        <f t="shared" ref="H85:J85" si="96">sum(H84)</f>
        <v>0</v>
      </c>
      <c r="I85" s="30">
        <f t="shared" si="96"/>
        <v>9228</v>
      </c>
      <c r="J85" s="30">
        <f t="shared" si="96"/>
        <v>-9228</v>
      </c>
      <c r="K85" s="2"/>
      <c r="L85" s="11"/>
      <c r="M85" s="11"/>
      <c r="N85" s="11"/>
      <c r="O85" s="9"/>
      <c r="P85" s="24"/>
      <c r="Q85" s="11"/>
      <c r="R85" s="2"/>
      <c r="S85" s="2"/>
      <c r="T85" s="14"/>
      <c r="U85" s="11"/>
      <c r="V85" s="2"/>
      <c r="W85" s="2"/>
      <c r="X85" s="2"/>
      <c r="Y85" s="2"/>
      <c r="Z85" s="2"/>
    </row>
    <row r="86" ht="15.75" customHeight="1">
      <c r="A86" s="4"/>
      <c r="B86" s="2"/>
      <c r="C86" s="2"/>
      <c r="D86" s="9"/>
      <c r="E86" s="9"/>
      <c r="F86" s="9"/>
      <c r="H86" s="9"/>
      <c r="I86" s="9"/>
      <c r="J86" s="9"/>
      <c r="K86" s="2"/>
      <c r="L86" s="9"/>
      <c r="M86" s="9"/>
      <c r="N86" s="9"/>
      <c r="O86" s="9"/>
      <c r="P86" s="24"/>
      <c r="Q86" s="11"/>
      <c r="R86" s="2"/>
      <c r="S86" s="2"/>
      <c r="T86" s="14"/>
      <c r="U86" s="11"/>
      <c r="V86" s="2"/>
      <c r="W86" s="2"/>
      <c r="X86" s="2"/>
      <c r="Y86" s="2"/>
      <c r="Z86" s="2"/>
    </row>
    <row r="87" ht="15.75" customHeight="1">
      <c r="A87" s="1" t="s">
        <v>77</v>
      </c>
      <c r="C87" s="2"/>
      <c r="D87" s="9"/>
      <c r="E87" s="9"/>
      <c r="F87" s="9"/>
      <c r="H87" s="9"/>
      <c r="I87" s="9"/>
      <c r="J87" s="9"/>
      <c r="K87" s="2"/>
      <c r="L87" s="9"/>
      <c r="M87" s="9"/>
      <c r="N87" s="9"/>
      <c r="O87" s="9"/>
      <c r="P87" s="24"/>
      <c r="Q87" s="11"/>
      <c r="R87" s="2"/>
      <c r="S87" s="2"/>
      <c r="T87" s="14"/>
      <c r="U87" s="11"/>
      <c r="V87" s="2"/>
      <c r="W87" s="2"/>
      <c r="X87" s="2"/>
      <c r="Y87" s="2"/>
      <c r="Z87" s="2"/>
    </row>
    <row r="88" ht="15.75" customHeight="1">
      <c r="A88" s="18" t="s">
        <v>78</v>
      </c>
      <c r="B88" s="2" t="str">
        <f t="shared" ref="B88:B89" si="97">INDIRECT(ADDRESS(ROW($B$1),COLUMN($B$1),4,TRUE,$A88))</f>
        <v>Sommar</v>
      </c>
      <c r="C88" s="2"/>
      <c r="D88" s="19">
        <f t="shared" ref="D88:D89" si="98">INDIRECT(ADDRESS(ROW($J$6),COLUMN($J$6),4,TRUE,$A88))</f>
        <v>0</v>
      </c>
      <c r="E88" s="19">
        <f t="shared" ref="E88:E89" si="99">INDIRECT(ADDRESS(ROW($J$7),COLUMN($J$7),4,TRUE,$A88))</f>
        <v>16242</v>
      </c>
      <c r="F88" s="11">
        <f t="shared" ref="F88:F89" si="100">D88-E88</f>
        <v>-16242</v>
      </c>
      <c r="H88" s="19">
        <f t="shared" ref="H88:H89" si="101">INDIRECT(ADDRESS(ROW($L$6),COLUMN($L$6),4,TRUE,$A88))</f>
        <v>0</v>
      </c>
      <c r="I88" s="19">
        <f t="shared" ref="I88:I89" si="102">INDIRECT(ADDRESS(ROW($L$7),COLUMN($L$7),4,TRUE,$A88))</f>
        <v>22834</v>
      </c>
      <c r="J88" s="11">
        <f t="shared" ref="J88:J89" si="103">H88-I88</f>
        <v>-22834</v>
      </c>
      <c r="K88" s="2"/>
      <c r="L88" s="11"/>
      <c r="M88" s="11"/>
      <c r="N88" s="11"/>
      <c r="O88" s="9"/>
      <c r="P88" s="24"/>
      <c r="Q88" s="11"/>
      <c r="R88" s="2"/>
      <c r="S88" s="2"/>
      <c r="T88" s="14"/>
      <c r="U88" s="11"/>
      <c r="V88" s="2"/>
      <c r="W88" s="2"/>
      <c r="X88" s="2"/>
      <c r="Y88" s="2"/>
      <c r="Z88" s="2"/>
    </row>
    <row r="89" ht="15.75" customHeight="1">
      <c r="A89" s="18" t="s">
        <v>79</v>
      </c>
      <c r="B89" s="2" t="str">
        <f t="shared" si="97"/>
        <v>Vinter</v>
      </c>
      <c r="C89" s="2"/>
      <c r="D89" s="19">
        <f t="shared" si="98"/>
        <v>0</v>
      </c>
      <c r="E89" s="19">
        <f t="shared" si="99"/>
        <v>16242</v>
      </c>
      <c r="F89" s="11">
        <f t="shared" si="100"/>
        <v>-16242</v>
      </c>
      <c r="H89" s="19">
        <f t="shared" si="101"/>
        <v>0</v>
      </c>
      <c r="I89" s="19">
        <f t="shared" si="102"/>
        <v>32834</v>
      </c>
      <c r="J89" s="11">
        <f t="shared" si="103"/>
        <v>-32834</v>
      </c>
      <c r="K89" s="2"/>
      <c r="L89" s="11"/>
      <c r="M89" s="11"/>
      <c r="N89" s="11"/>
      <c r="O89" s="9"/>
      <c r="P89" s="24"/>
      <c r="Q89" s="11"/>
      <c r="R89" s="2"/>
      <c r="S89" s="2"/>
      <c r="T89" s="2"/>
      <c r="U89" s="11"/>
      <c r="V89" s="2"/>
      <c r="W89" s="2"/>
      <c r="X89" s="2"/>
      <c r="Y89" s="2"/>
      <c r="Z89" s="2"/>
    </row>
    <row r="90" ht="15.75" customHeight="1">
      <c r="A90" s="27" t="s">
        <v>76</v>
      </c>
      <c r="B90" s="28"/>
      <c r="C90" s="29"/>
      <c r="D90" s="30">
        <f t="shared" ref="D90:F90" si="104">sum(D88:D89)</f>
        <v>0</v>
      </c>
      <c r="E90" s="30">
        <f t="shared" si="104"/>
        <v>32484</v>
      </c>
      <c r="F90" s="30">
        <f t="shared" si="104"/>
        <v>-32484</v>
      </c>
      <c r="G90" s="31"/>
      <c r="H90" s="30">
        <f>sum(H88)</f>
        <v>0</v>
      </c>
      <c r="I90" s="30">
        <f t="shared" ref="I90:J90" si="105">sum(I88:I89)</f>
        <v>55668</v>
      </c>
      <c r="J90" s="30">
        <f t="shared" si="105"/>
        <v>-55668</v>
      </c>
      <c r="K90" s="2"/>
      <c r="L90" s="11"/>
      <c r="M90" s="11"/>
      <c r="N90" s="11"/>
      <c r="O90" s="9"/>
      <c r="P90" s="24"/>
      <c r="Q90" s="11"/>
      <c r="R90" s="2"/>
      <c r="S90" s="2"/>
      <c r="T90" s="2"/>
      <c r="U90" s="11"/>
      <c r="V90" s="2"/>
      <c r="W90" s="2"/>
      <c r="X90" s="2"/>
      <c r="Y90" s="2"/>
      <c r="Z90" s="2"/>
    </row>
    <row r="91" ht="15.75" customHeight="1">
      <c r="A91" s="4"/>
      <c r="B91" s="2"/>
      <c r="C91" s="2"/>
      <c r="D91" s="9"/>
      <c r="E91" s="9"/>
      <c r="F91" s="9"/>
      <c r="H91" s="9"/>
      <c r="I91" s="9"/>
      <c r="J91" s="9"/>
      <c r="K91" s="2"/>
      <c r="L91" s="9"/>
      <c r="M91" s="9"/>
      <c r="N91" s="9"/>
      <c r="O91" s="9"/>
      <c r="P91" s="24"/>
      <c r="Q91" s="11"/>
      <c r="R91" s="2"/>
      <c r="S91" s="2"/>
      <c r="T91" s="2"/>
      <c r="U91" s="11"/>
      <c r="V91" s="2"/>
      <c r="W91" s="2"/>
      <c r="X91" s="2"/>
      <c r="Y91" s="2"/>
      <c r="Z91" s="2"/>
    </row>
    <row r="92" ht="15.75" customHeight="1">
      <c r="A92" s="1" t="s">
        <v>80</v>
      </c>
      <c r="C92" s="2"/>
      <c r="D92" s="9"/>
      <c r="E92" s="9"/>
      <c r="F92" s="9"/>
      <c r="H92" s="9"/>
      <c r="I92" s="9"/>
      <c r="J92" s="9"/>
      <c r="K92" s="2"/>
      <c r="L92" s="9"/>
      <c r="M92" s="9"/>
      <c r="N92" s="9"/>
      <c r="O92" s="9"/>
      <c r="P92" s="24"/>
      <c r="Q92" s="11"/>
      <c r="R92" s="2"/>
      <c r="S92" s="10"/>
      <c r="T92" s="14"/>
      <c r="U92" s="11"/>
      <c r="V92" s="2"/>
      <c r="W92" s="2"/>
      <c r="X92" s="2"/>
      <c r="Y92" s="2"/>
      <c r="Z92" s="2"/>
    </row>
    <row r="93" ht="15.75" customHeight="1">
      <c r="A93" s="18" t="s">
        <v>81</v>
      </c>
      <c r="B93" s="2" t="str">
        <f t="shared" ref="B93:B98" si="106">INDIRECT(ADDRESS(ROW($B$1),COLUMN($B$1),4,TRUE,$A93))</f>
        <v>Funktionärer</v>
      </c>
      <c r="C93" s="2"/>
      <c r="D93" s="19">
        <f t="shared" ref="D93:D98" si="107">INDIRECT(ADDRESS(ROW($J$6),COLUMN($J$6),4,TRUE,$A93))</f>
        <v>0</v>
      </c>
      <c r="E93" s="19">
        <f t="shared" ref="E93:E98" si="108">INDIRECT(ADDRESS(ROW($J$7),COLUMN($J$7),4,TRUE,$A93))</f>
        <v>0</v>
      </c>
      <c r="F93" s="11">
        <f t="shared" ref="F93:F98" si="109">D93-E93</f>
        <v>0</v>
      </c>
      <c r="H93" s="19">
        <f t="shared" ref="H93:H98" si="110">INDIRECT(ADDRESS(ROW($L$6),COLUMN($L$6),4,TRUE,$A93))</f>
        <v>0</v>
      </c>
      <c r="I93" s="19">
        <f t="shared" ref="I93:I98" si="111">INDIRECT(ADDRESS(ROW($L$7),COLUMN($L$7),4,TRUE,$A93))</f>
        <v>0</v>
      </c>
      <c r="J93" s="11">
        <f t="shared" ref="J93:J98" si="112">H93-I93</f>
        <v>0</v>
      </c>
      <c r="K93" s="2"/>
      <c r="L93" s="11"/>
      <c r="M93" s="11"/>
      <c r="N93" s="11"/>
      <c r="O93" s="9"/>
      <c r="P93" s="24"/>
      <c r="Q93" s="11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8" t="s">
        <v>82</v>
      </c>
      <c r="B94" s="2" t="str">
        <f t="shared" si="106"/>
        <v>Evenemang</v>
      </c>
      <c r="C94" s="2"/>
      <c r="D94" s="19">
        <f t="shared" si="107"/>
        <v>0</v>
      </c>
      <c r="E94" s="19">
        <f t="shared" si="108"/>
        <v>0</v>
      </c>
      <c r="F94" s="11">
        <f t="shared" si="109"/>
        <v>0</v>
      </c>
      <c r="H94" s="19">
        <f t="shared" si="110"/>
        <v>0</v>
      </c>
      <c r="I94" s="19">
        <f t="shared" si="111"/>
        <v>0</v>
      </c>
      <c r="J94" s="19">
        <f t="shared" si="112"/>
        <v>0</v>
      </c>
      <c r="K94" s="2"/>
      <c r="L94" s="11"/>
      <c r="M94" s="11"/>
      <c r="N94" s="11"/>
      <c r="O94" s="9"/>
      <c r="P94" s="24"/>
      <c r="Q94" s="11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8" t="s">
        <v>83</v>
      </c>
      <c r="B95" s="2" t="str">
        <f t="shared" si="106"/>
        <v>Marknadsföring</v>
      </c>
      <c r="C95" s="2"/>
      <c r="D95" s="19">
        <f t="shared" si="107"/>
        <v>0</v>
      </c>
      <c r="E95" s="19">
        <f t="shared" si="108"/>
        <v>0</v>
      </c>
      <c r="F95" s="11">
        <f t="shared" si="109"/>
        <v>0</v>
      </c>
      <c r="H95" s="19">
        <f t="shared" si="110"/>
        <v>0</v>
      </c>
      <c r="I95" s="19">
        <f t="shared" si="111"/>
        <v>0</v>
      </c>
      <c r="J95" s="19">
        <f t="shared" si="112"/>
        <v>0</v>
      </c>
      <c r="K95" s="2"/>
      <c r="L95" s="11"/>
      <c r="M95" s="11"/>
      <c r="N95" s="11"/>
      <c r="O95" s="9"/>
      <c r="P95" s="24"/>
      <c r="Q95" s="11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8" t="s">
        <v>84</v>
      </c>
      <c r="B96" s="2" t="str">
        <f t="shared" si="106"/>
        <v>Logistik</v>
      </c>
      <c r="C96" s="2"/>
      <c r="D96" s="19">
        <f t="shared" si="107"/>
        <v>0</v>
      </c>
      <c r="E96" s="19">
        <f t="shared" si="108"/>
        <v>0</v>
      </c>
      <c r="F96" s="11">
        <f t="shared" si="109"/>
        <v>0</v>
      </c>
      <c r="H96" s="19">
        <f t="shared" si="110"/>
        <v>0</v>
      </c>
      <c r="I96" s="19">
        <f t="shared" si="111"/>
        <v>0</v>
      </c>
      <c r="J96" s="19">
        <f t="shared" si="112"/>
        <v>0</v>
      </c>
      <c r="K96" s="2"/>
      <c r="L96" s="11"/>
      <c r="M96" s="11"/>
      <c r="N96" s="11"/>
      <c r="O96" s="9"/>
      <c r="P96" s="24"/>
      <c r="Q96" s="11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8" t="s">
        <v>85</v>
      </c>
      <c r="B97" s="2" t="str">
        <f t="shared" si="106"/>
        <v>Försäljning</v>
      </c>
      <c r="C97" s="2"/>
      <c r="D97" s="19">
        <f t="shared" si="107"/>
        <v>256557.6433</v>
      </c>
      <c r="E97" s="19">
        <f t="shared" si="108"/>
        <v>0</v>
      </c>
      <c r="F97" s="11">
        <f t="shared" si="109"/>
        <v>256557.6433</v>
      </c>
      <c r="H97" s="19">
        <f t="shared" si="110"/>
        <v>323453.1729</v>
      </c>
      <c r="I97" s="19">
        <f t="shared" si="111"/>
        <v>0</v>
      </c>
      <c r="J97" s="19">
        <f t="shared" si="112"/>
        <v>323453.1729</v>
      </c>
      <c r="K97" s="2"/>
      <c r="L97" s="11"/>
      <c r="M97" s="11"/>
      <c r="N97" s="11"/>
      <c r="O97" s="9"/>
      <c r="P97" s="24"/>
      <c r="Q97" s="11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8" t="s">
        <v>86</v>
      </c>
      <c r="B98" s="2" t="str">
        <f t="shared" si="106"/>
        <v>Höst</v>
      </c>
      <c r="C98" s="2"/>
      <c r="D98" s="19">
        <f t="shared" si="107"/>
        <v>0</v>
      </c>
      <c r="E98" s="19">
        <f t="shared" si="108"/>
        <v>19428</v>
      </c>
      <c r="F98" s="11">
        <f t="shared" si="109"/>
        <v>-19428</v>
      </c>
      <c r="H98" s="19">
        <f t="shared" si="110"/>
        <v>0</v>
      </c>
      <c r="I98" s="19">
        <f t="shared" si="111"/>
        <v>19928</v>
      </c>
      <c r="J98" s="19">
        <f t="shared" si="112"/>
        <v>-19928</v>
      </c>
      <c r="K98" s="2"/>
      <c r="L98" s="11"/>
      <c r="M98" s="11"/>
      <c r="N98" s="11"/>
      <c r="O98" s="9"/>
      <c r="P98" s="24"/>
      <c r="Q98" s="11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7" t="s">
        <v>87</v>
      </c>
      <c r="B99" s="28"/>
      <c r="C99" s="29"/>
      <c r="D99" s="30">
        <f t="shared" ref="D99:F99" si="113">SUM(D93:D98)</f>
        <v>256557.6433</v>
      </c>
      <c r="E99" s="30">
        <f t="shared" si="113"/>
        <v>19428</v>
      </c>
      <c r="F99" s="30">
        <f t="shared" si="113"/>
        <v>237129.6433</v>
      </c>
      <c r="G99" s="31"/>
      <c r="H99" s="30">
        <f t="shared" ref="H99:J99" si="114">SUM(H93:H98)</f>
        <v>323453.1729</v>
      </c>
      <c r="I99" s="30">
        <f t="shared" si="114"/>
        <v>19928</v>
      </c>
      <c r="J99" s="30">
        <f t="shared" si="114"/>
        <v>303525.1729</v>
      </c>
      <c r="K99" s="2"/>
      <c r="L99" s="11"/>
      <c r="M99" s="11"/>
      <c r="N99" s="11"/>
      <c r="O99" s="9"/>
      <c r="P99" s="24"/>
      <c r="Q99" s="11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/>
      <c r="B100" s="2"/>
      <c r="C100" s="2"/>
      <c r="D100" s="9"/>
      <c r="E100" s="9"/>
      <c r="F100" s="9"/>
      <c r="H100" s="9"/>
      <c r="I100" s="9"/>
      <c r="J100" s="9"/>
      <c r="K100" s="2"/>
      <c r="L100" s="9"/>
      <c r="M100" s="9"/>
      <c r="N100" s="9"/>
      <c r="O100" s="9"/>
      <c r="P100" s="24"/>
      <c r="Q100" s="11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88</v>
      </c>
      <c r="C101" s="2"/>
      <c r="D101" s="9"/>
      <c r="E101" s="9"/>
      <c r="F101" s="9"/>
      <c r="H101" s="9"/>
      <c r="I101" s="9"/>
      <c r="J101" s="9"/>
      <c r="K101" s="2"/>
      <c r="L101" s="9"/>
      <c r="M101" s="9"/>
      <c r="N101" s="9"/>
      <c r="O101" s="9"/>
      <c r="P101" s="24"/>
      <c r="Q101" s="11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8" t="s">
        <v>89</v>
      </c>
      <c r="B102" s="2" t="str">
        <f t="array" ref="B102">INDIRECT(ADDRESS(ROW($B$1),COLUMN($B$1),4,TRUE,$A102))</f>
        <v>Allmänt</v>
      </c>
      <c r="C102" s="2"/>
      <c r="D102" s="19">
        <f t="array" ref="D102">INDIRECT(ADDRESS(ROW($J$6),COLUMN($J$6),4,TRUE,$A102))</f>
        <v>0</v>
      </c>
      <c r="E102" s="19">
        <f t="array" ref="E102">INDIRECT(ADDRESS(ROW($J$7),COLUMN($J$7),4,TRUE,$A102))</f>
        <v>1035</v>
      </c>
      <c r="F102" s="11">
        <f>D102-E102</f>
        <v>-1035</v>
      </c>
      <c r="H102" s="19">
        <f t="array" ref="H102">INDIRECT(ADDRESS(ROW($L$6),COLUMN($L$6),4,TRUE,$A102))</f>
        <v>0</v>
      </c>
      <c r="I102" s="19">
        <f t="array" ref="I102">INDIRECT(ADDRESS(ROW($L$7),COLUMN($L$7),4,TRUE,$A102))</f>
        <v>4170</v>
      </c>
      <c r="J102" s="11">
        <f>H102-I102</f>
        <v>-4170</v>
      </c>
      <c r="K102" s="2"/>
      <c r="L102" s="11"/>
      <c r="M102" s="11"/>
      <c r="N102" s="11"/>
      <c r="O102" s="9"/>
      <c r="P102" s="24"/>
      <c r="Q102" s="11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7" t="s">
        <v>90</v>
      </c>
      <c r="B103" s="28"/>
      <c r="C103" s="29"/>
      <c r="D103" s="30">
        <f t="shared" ref="D103:F103" si="115">sum(D102)</f>
        <v>0</v>
      </c>
      <c r="E103" s="30">
        <f t="shared" si="115"/>
        <v>1035</v>
      </c>
      <c r="F103" s="30">
        <f t="shared" si="115"/>
        <v>-1035</v>
      </c>
      <c r="G103" s="31"/>
      <c r="H103" s="30">
        <f t="shared" ref="H103:J103" si="116">sum(H102)</f>
        <v>0</v>
      </c>
      <c r="I103" s="30">
        <f t="shared" si="116"/>
        <v>4170</v>
      </c>
      <c r="J103" s="30">
        <f t="shared" si="116"/>
        <v>-4170</v>
      </c>
      <c r="K103" s="2"/>
      <c r="L103" s="11"/>
      <c r="M103" s="11"/>
      <c r="N103" s="11"/>
      <c r="O103" s="9"/>
      <c r="P103" s="24"/>
      <c r="Q103" s="11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/>
      <c r="B104" s="2"/>
      <c r="C104" s="2"/>
      <c r="D104" s="9"/>
      <c r="E104" s="9"/>
      <c r="F104" s="9"/>
      <c r="H104" s="9"/>
      <c r="I104" s="9"/>
      <c r="J104" s="9"/>
      <c r="K104" s="2"/>
      <c r="L104" s="9"/>
      <c r="M104" s="9"/>
      <c r="N104" s="9"/>
      <c r="O104" s="9"/>
      <c r="P104" s="24"/>
      <c r="Q104" s="11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 t="s">
        <v>91</v>
      </c>
      <c r="C105" s="2"/>
      <c r="D105" s="9"/>
      <c r="E105" s="9"/>
      <c r="F105" s="9"/>
      <c r="H105" s="9"/>
      <c r="I105" s="9"/>
      <c r="J105" s="9"/>
      <c r="K105" s="2"/>
      <c r="L105" s="9"/>
      <c r="M105" s="9"/>
      <c r="N105" s="9"/>
      <c r="O105" s="9"/>
      <c r="P105" s="24"/>
      <c r="Q105" s="11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8" t="s">
        <v>92</v>
      </c>
      <c r="B106" s="2" t="str">
        <f t="array" ref="B106">INDIRECT(ADDRESS(ROW($B$1),COLUMN($B$1),4,TRUE,$A106))</f>
        <v>Allmänt</v>
      </c>
      <c r="C106" s="2"/>
      <c r="D106" s="19">
        <f t="array" ref="D106">INDIRECT(ADDRESS(ROW($J$6),COLUMN($J$6),4,TRUE,$A106))</f>
        <v>0</v>
      </c>
      <c r="E106" s="19">
        <f t="array" ref="E106">INDIRECT(ADDRESS(ROW($J$7),COLUMN($J$7),4,TRUE,$A106))</f>
        <v>10143</v>
      </c>
      <c r="F106" s="11">
        <f>D106-E106</f>
        <v>-10143</v>
      </c>
      <c r="H106" s="19">
        <f t="array" ref="H106">INDIRECT(ADDRESS(ROW($L$6),COLUMN($L$6),4,TRUE,$A106))</f>
        <v>0</v>
      </c>
      <c r="I106" s="19">
        <f t="array" ref="I106">INDIRECT(ADDRESS(ROW($L$7),COLUMN($L$7),4,TRUE,$A106))</f>
        <v>22156</v>
      </c>
      <c r="J106" s="11">
        <f>H106-I106</f>
        <v>-22156</v>
      </c>
      <c r="K106" s="2"/>
      <c r="L106" s="11"/>
      <c r="M106" s="11"/>
      <c r="N106" s="11"/>
      <c r="O106" s="9"/>
      <c r="P106" s="24"/>
      <c r="Q106" s="11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7" t="s">
        <v>93</v>
      </c>
      <c r="B107" s="28"/>
      <c r="C107" s="29"/>
      <c r="D107" s="30">
        <f t="shared" ref="D107:F107" si="117">sum(D106)</f>
        <v>0</v>
      </c>
      <c r="E107" s="30">
        <f t="shared" si="117"/>
        <v>10143</v>
      </c>
      <c r="F107" s="30">
        <f t="shared" si="117"/>
        <v>-10143</v>
      </c>
      <c r="G107" s="31"/>
      <c r="H107" s="30">
        <f t="shared" ref="H107:J107" si="118">sum(H106)</f>
        <v>0</v>
      </c>
      <c r="I107" s="30">
        <f t="shared" si="118"/>
        <v>22156</v>
      </c>
      <c r="J107" s="30">
        <f t="shared" si="118"/>
        <v>-22156</v>
      </c>
      <c r="K107" s="2"/>
      <c r="L107" s="11"/>
      <c r="M107" s="11"/>
      <c r="N107" s="11"/>
      <c r="O107" s="9"/>
      <c r="P107" s="24"/>
      <c r="Q107" s="11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/>
      <c r="B108" s="2"/>
      <c r="C108" s="2"/>
      <c r="D108" s="8"/>
      <c r="E108" s="8"/>
      <c r="F108" s="8"/>
      <c r="K108" s="2"/>
      <c r="L108" s="2"/>
      <c r="M108" s="2"/>
      <c r="N108" s="2"/>
      <c r="O108" s="9"/>
      <c r="P108" s="24"/>
      <c r="Q108" s="11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2"/>
      <c r="C109" s="2"/>
      <c r="K109" s="2"/>
      <c r="L109" s="2"/>
      <c r="M109" s="2"/>
      <c r="N109" s="2"/>
      <c r="O109" s="9"/>
      <c r="P109" s="24"/>
      <c r="Q109" s="11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2"/>
      <c r="C110" s="2"/>
      <c r="D110" s="8"/>
      <c r="E110" s="8"/>
      <c r="F110" s="8"/>
      <c r="K110" s="2"/>
      <c r="L110" s="2"/>
      <c r="M110" s="2"/>
      <c r="N110" s="2"/>
      <c r="O110" s="9"/>
      <c r="P110" s="24"/>
      <c r="Q110" s="11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2"/>
      <c r="C111" s="2"/>
      <c r="D111" s="8"/>
      <c r="E111" s="8"/>
      <c r="F111" s="8"/>
      <c r="K111" s="2"/>
      <c r="L111" s="2"/>
      <c r="M111" s="2"/>
      <c r="N111" s="2"/>
      <c r="O111" s="9"/>
      <c r="P111" s="24"/>
      <c r="Q111" s="11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2"/>
      <c r="C112" s="2"/>
      <c r="D112" s="8"/>
      <c r="E112" s="8"/>
      <c r="F112" s="8"/>
      <c r="K112" s="2"/>
      <c r="L112" s="2"/>
      <c r="M112" s="2"/>
      <c r="N112" s="2"/>
      <c r="O112" s="9"/>
      <c r="P112" s="24"/>
      <c r="Q112" s="11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2"/>
      <c r="C113" s="2"/>
      <c r="D113" s="8"/>
      <c r="E113" s="8"/>
      <c r="F113" s="8"/>
      <c r="K113" s="2"/>
      <c r="L113" s="2"/>
      <c r="M113" s="2"/>
      <c r="N113" s="2"/>
      <c r="O113" s="9"/>
      <c r="P113" s="24"/>
      <c r="Q113" s="11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2"/>
      <c r="C114" s="2"/>
      <c r="D114" s="8"/>
      <c r="E114" s="8"/>
      <c r="F114" s="8"/>
      <c r="K114" s="2"/>
      <c r="L114" s="2"/>
      <c r="M114" s="2"/>
      <c r="N114" s="2"/>
      <c r="O114" s="9"/>
      <c r="P114" s="24"/>
      <c r="Q114" s="11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2"/>
      <c r="C115" s="2"/>
      <c r="D115" s="8"/>
      <c r="E115" s="8"/>
      <c r="F115" s="8"/>
      <c r="K115" s="2"/>
      <c r="L115" s="2"/>
      <c r="M115" s="2"/>
      <c r="N115" s="2"/>
      <c r="O115" s="9"/>
      <c r="P115" s="24"/>
      <c r="Q115" s="11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2"/>
      <c r="C116" s="2"/>
      <c r="D116" s="8"/>
      <c r="E116" s="8"/>
      <c r="F116" s="8"/>
      <c r="K116" s="2"/>
      <c r="L116" s="2"/>
      <c r="M116" s="2"/>
      <c r="N116" s="2"/>
      <c r="O116" s="9"/>
      <c r="P116" s="24"/>
      <c r="Q116" s="11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2"/>
      <c r="C117" s="2"/>
      <c r="D117" s="8"/>
      <c r="E117" s="8"/>
      <c r="F117" s="8"/>
      <c r="K117" s="2"/>
      <c r="L117" s="2"/>
      <c r="M117" s="2"/>
      <c r="N117" s="2"/>
      <c r="O117" s="9"/>
      <c r="P117" s="24"/>
      <c r="Q117" s="11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2"/>
      <c r="C118" s="2"/>
      <c r="D118" s="8"/>
      <c r="E118" s="8"/>
      <c r="F118" s="8"/>
      <c r="K118" s="2"/>
      <c r="L118" s="2"/>
      <c r="M118" s="2"/>
      <c r="N118" s="2"/>
      <c r="O118" s="9"/>
      <c r="P118" s="24"/>
      <c r="Q118" s="11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2"/>
      <c r="C119" s="2"/>
      <c r="D119" s="8"/>
      <c r="E119" s="8"/>
      <c r="F119" s="8"/>
      <c r="K119" s="2"/>
      <c r="L119" s="2"/>
      <c r="M119" s="2"/>
      <c r="N119" s="2"/>
      <c r="O119" s="9"/>
      <c r="P119" s="24"/>
      <c r="Q119" s="11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2"/>
      <c r="C120" s="2"/>
      <c r="D120" s="8"/>
      <c r="E120" s="8"/>
      <c r="F120" s="8"/>
      <c r="K120" s="2"/>
      <c r="L120" s="2"/>
      <c r="M120" s="2"/>
      <c r="N120" s="2"/>
      <c r="O120" s="21"/>
      <c r="P120" s="36"/>
      <c r="Q120" s="37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2"/>
      <c r="C121" s="2"/>
      <c r="D121" s="8"/>
      <c r="E121" s="8"/>
      <c r="F121" s="8"/>
      <c r="K121" s="2"/>
      <c r="L121" s="2"/>
      <c r="M121" s="2"/>
      <c r="N121" s="2"/>
      <c r="V121" s="2"/>
      <c r="W121" s="2"/>
      <c r="X121" s="2"/>
      <c r="Y121" s="2"/>
      <c r="Z121" s="2"/>
    </row>
    <row r="122" ht="15.75" customHeight="1">
      <c r="A122" s="4"/>
      <c r="B122" s="2"/>
      <c r="C122" s="2"/>
      <c r="D122" s="8"/>
      <c r="E122" s="8"/>
      <c r="F122" s="8"/>
      <c r="K122" s="2"/>
      <c r="L122" s="2"/>
      <c r="M122" s="2"/>
      <c r="N122" s="2"/>
      <c r="V122" s="2"/>
      <c r="W122" s="2"/>
      <c r="X122" s="2"/>
      <c r="Y122" s="2"/>
      <c r="Z122" s="2"/>
    </row>
    <row r="123" ht="15.75" customHeight="1">
      <c r="A123" s="4"/>
      <c r="B123" s="2"/>
      <c r="C123" s="2"/>
      <c r="D123" s="8"/>
      <c r="E123" s="8"/>
      <c r="F123" s="8"/>
      <c r="K123" s="2"/>
      <c r="L123" s="2"/>
      <c r="M123" s="2"/>
      <c r="N123" s="2"/>
      <c r="O123" s="9"/>
      <c r="P123" s="9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2"/>
      <c r="C124" s="2"/>
      <c r="D124" s="8"/>
      <c r="E124" s="8"/>
      <c r="F124" s="8"/>
      <c r="K124" s="2"/>
      <c r="L124" s="2"/>
      <c r="M124" s="2"/>
      <c r="N124" s="2"/>
      <c r="O124" s="11"/>
      <c r="P124" s="11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2"/>
      <c r="C125" s="2"/>
      <c r="D125" s="8"/>
      <c r="E125" s="8"/>
      <c r="F125" s="8"/>
      <c r="K125" s="2"/>
      <c r="L125" s="2"/>
      <c r="M125" s="2"/>
      <c r="N125" s="2"/>
      <c r="O125" s="11"/>
      <c r="P125" s="1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2"/>
      <c r="C126" s="2"/>
      <c r="D126" s="8"/>
      <c r="E126" s="8"/>
      <c r="F126" s="8"/>
      <c r="K126" s="2"/>
      <c r="L126" s="2"/>
      <c r="M126" s="2"/>
      <c r="N126" s="2"/>
      <c r="O126" s="11"/>
      <c r="P126" s="1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2"/>
      <c r="C127" s="2"/>
      <c r="D127" s="8"/>
      <c r="E127" s="8"/>
      <c r="F127" s="8"/>
      <c r="K127" s="2"/>
      <c r="L127" s="2"/>
      <c r="M127" s="2"/>
      <c r="N127" s="2"/>
      <c r="O127" s="11"/>
      <c r="P127" s="11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2"/>
      <c r="C128" s="2"/>
      <c r="D128" s="8"/>
      <c r="E128" s="8"/>
      <c r="F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2"/>
      <c r="C129" s="2"/>
      <c r="D129" s="8"/>
      <c r="E129" s="8"/>
      <c r="F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2"/>
      <c r="C130" s="2"/>
      <c r="D130" s="8"/>
      <c r="E130" s="8"/>
      <c r="F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2"/>
      <c r="C131" s="2"/>
      <c r="D131" s="8"/>
      <c r="E131" s="8"/>
      <c r="F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2"/>
      <c r="C132" s="2"/>
      <c r="D132" s="8"/>
      <c r="E132" s="8"/>
      <c r="F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2"/>
      <c r="C133" s="2"/>
      <c r="D133" s="8"/>
      <c r="E133" s="8"/>
      <c r="F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2"/>
      <c r="C134" s="2"/>
      <c r="D134" s="8"/>
      <c r="E134" s="8"/>
      <c r="F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2"/>
      <c r="C135" s="2"/>
      <c r="D135" s="8"/>
      <c r="E135" s="8"/>
      <c r="F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2"/>
      <c r="C136" s="2"/>
      <c r="D136" s="8"/>
      <c r="E136" s="8"/>
      <c r="F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2"/>
      <c r="C137" s="2"/>
      <c r="D137" s="8"/>
      <c r="E137" s="8"/>
      <c r="F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2"/>
      <c r="C138" s="2"/>
      <c r="D138" s="8"/>
      <c r="E138" s="8"/>
      <c r="F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2"/>
      <c r="C139" s="2"/>
      <c r="D139" s="8"/>
      <c r="E139" s="8"/>
      <c r="F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2"/>
      <c r="C140" s="2"/>
      <c r="D140" s="8"/>
      <c r="E140" s="8"/>
      <c r="F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2"/>
      <c r="C141" s="2"/>
      <c r="D141" s="8"/>
      <c r="E141" s="8"/>
      <c r="F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2"/>
      <c r="C142" s="2"/>
      <c r="D142" s="8"/>
      <c r="E142" s="8"/>
      <c r="F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2"/>
      <c r="C143" s="2"/>
      <c r="D143" s="8"/>
      <c r="E143" s="8"/>
      <c r="F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2"/>
      <c r="C144" s="2"/>
      <c r="D144" s="8"/>
      <c r="E144" s="8"/>
      <c r="F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2"/>
      <c r="C145" s="2"/>
      <c r="D145" s="8"/>
      <c r="E145" s="8"/>
      <c r="F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2"/>
      <c r="C146" s="2"/>
      <c r="D146" s="8"/>
      <c r="E146" s="8"/>
      <c r="F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2"/>
      <c r="C147" s="2"/>
      <c r="D147" s="8"/>
      <c r="E147" s="8"/>
      <c r="F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2"/>
      <c r="C148" s="2"/>
      <c r="D148" s="8"/>
      <c r="E148" s="8"/>
      <c r="F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2"/>
      <c r="C149" s="2"/>
      <c r="D149" s="8"/>
      <c r="E149" s="8"/>
      <c r="F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2"/>
      <c r="C150" s="2"/>
      <c r="D150" s="8"/>
      <c r="E150" s="8"/>
      <c r="F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2"/>
      <c r="C151" s="2"/>
      <c r="D151" s="8"/>
      <c r="E151" s="8"/>
      <c r="F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2"/>
      <c r="C152" s="2"/>
      <c r="D152" s="8"/>
      <c r="E152" s="8"/>
      <c r="F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2"/>
      <c r="C153" s="2"/>
      <c r="D153" s="8"/>
      <c r="E153" s="8"/>
      <c r="F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2"/>
      <c r="C154" s="2"/>
      <c r="D154" s="8"/>
      <c r="E154" s="8"/>
      <c r="F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2"/>
      <c r="C155" s="2"/>
      <c r="D155" s="8"/>
      <c r="E155" s="8"/>
      <c r="F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2"/>
      <c r="C156" s="2"/>
      <c r="D156" s="8"/>
      <c r="E156" s="8"/>
      <c r="F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2"/>
      <c r="C157" s="2"/>
      <c r="D157" s="8"/>
      <c r="E157" s="8"/>
      <c r="F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2"/>
      <c r="C158" s="2"/>
      <c r="D158" s="8"/>
      <c r="E158" s="8"/>
      <c r="F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2"/>
      <c r="C159" s="2"/>
      <c r="D159" s="8"/>
      <c r="E159" s="8"/>
      <c r="F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2"/>
      <c r="C160" s="2"/>
      <c r="D160" s="8"/>
      <c r="E160" s="8"/>
      <c r="F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2"/>
      <c r="C161" s="2"/>
      <c r="D161" s="8"/>
      <c r="E161" s="8"/>
      <c r="F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2"/>
      <c r="C162" s="2"/>
      <c r="D162" s="8"/>
      <c r="E162" s="8"/>
      <c r="F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2"/>
      <c r="C163" s="2"/>
      <c r="D163" s="8"/>
      <c r="E163" s="8"/>
      <c r="F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2"/>
      <c r="C164" s="2"/>
      <c r="D164" s="8"/>
      <c r="E164" s="8"/>
      <c r="F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2"/>
      <c r="C165" s="2"/>
      <c r="D165" s="8"/>
      <c r="E165" s="8"/>
      <c r="F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2"/>
      <c r="C166" s="2"/>
      <c r="D166" s="8"/>
      <c r="E166" s="8"/>
      <c r="F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2"/>
      <c r="C167" s="2"/>
      <c r="D167" s="8"/>
      <c r="E167" s="8"/>
      <c r="F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2"/>
      <c r="C168" s="2"/>
      <c r="D168" s="8"/>
      <c r="E168" s="8"/>
      <c r="F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2"/>
      <c r="C169" s="2"/>
      <c r="D169" s="8"/>
      <c r="E169" s="8"/>
      <c r="F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2"/>
      <c r="C170" s="2"/>
      <c r="D170" s="8"/>
      <c r="E170" s="8"/>
      <c r="F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2"/>
      <c r="C171" s="2"/>
      <c r="D171" s="8"/>
      <c r="E171" s="8"/>
      <c r="F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2"/>
      <c r="C172" s="2"/>
      <c r="D172" s="8"/>
      <c r="E172" s="8"/>
      <c r="F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2"/>
      <c r="C173" s="2"/>
      <c r="D173" s="8"/>
      <c r="E173" s="8"/>
      <c r="F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2"/>
      <c r="C174" s="2"/>
      <c r="D174" s="8"/>
      <c r="E174" s="8"/>
      <c r="F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2"/>
      <c r="C175" s="2"/>
      <c r="D175" s="8"/>
      <c r="E175" s="8"/>
      <c r="F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2"/>
      <c r="C176" s="2"/>
      <c r="D176" s="8"/>
      <c r="E176" s="8"/>
      <c r="F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2"/>
      <c r="C177" s="2"/>
      <c r="D177" s="8"/>
      <c r="E177" s="8"/>
      <c r="F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2"/>
      <c r="C178" s="2"/>
      <c r="D178" s="8"/>
      <c r="E178" s="8"/>
      <c r="F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2"/>
      <c r="C179" s="2"/>
      <c r="D179" s="8"/>
      <c r="E179" s="8"/>
      <c r="F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2"/>
      <c r="C180" s="2"/>
      <c r="D180" s="8"/>
      <c r="E180" s="8"/>
      <c r="F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2"/>
      <c r="C181" s="2"/>
      <c r="D181" s="8"/>
      <c r="E181" s="8"/>
      <c r="F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2"/>
      <c r="C182" s="2"/>
      <c r="D182" s="8"/>
      <c r="E182" s="8"/>
      <c r="F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2"/>
      <c r="C183" s="2"/>
      <c r="D183" s="8"/>
      <c r="E183" s="8"/>
      <c r="F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2"/>
      <c r="C184" s="2"/>
      <c r="D184" s="8"/>
      <c r="E184" s="8"/>
      <c r="F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2"/>
      <c r="C185" s="2"/>
      <c r="D185" s="8"/>
      <c r="E185" s="8"/>
      <c r="F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2"/>
      <c r="C186" s="2"/>
      <c r="D186" s="8"/>
      <c r="E186" s="8"/>
      <c r="F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2"/>
      <c r="C187" s="2"/>
      <c r="D187" s="8"/>
      <c r="E187" s="8"/>
      <c r="F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2"/>
      <c r="C188" s="2"/>
      <c r="D188" s="8"/>
      <c r="E188" s="8"/>
      <c r="F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2"/>
      <c r="C189" s="2"/>
      <c r="D189" s="8"/>
      <c r="E189" s="8"/>
      <c r="F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2"/>
      <c r="C190" s="2"/>
      <c r="D190" s="8"/>
      <c r="E190" s="8"/>
      <c r="F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2"/>
      <c r="C191" s="2"/>
      <c r="D191" s="8"/>
      <c r="E191" s="8"/>
      <c r="F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2"/>
      <c r="C192" s="2"/>
      <c r="D192" s="8"/>
      <c r="E192" s="8"/>
      <c r="F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2"/>
      <c r="C193" s="2"/>
      <c r="D193" s="8"/>
      <c r="E193" s="8"/>
      <c r="F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2"/>
      <c r="C194" s="2"/>
      <c r="D194" s="8"/>
      <c r="E194" s="8"/>
      <c r="F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2"/>
      <c r="C195" s="2"/>
      <c r="D195" s="8"/>
      <c r="E195" s="8"/>
      <c r="F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2"/>
      <c r="C196" s="2"/>
      <c r="D196" s="8"/>
      <c r="E196" s="8"/>
      <c r="F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2"/>
      <c r="C197" s="2"/>
      <c r="D197" s="8"/>
      <c r="E197" s="8"/>
      <c r="F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2"/>
      <c r="C198" s="2"/>
      <c r="D198" s="8"/>
      <c r="E198" s="8"/>
      <c r="F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2"/>
      <c r="C199" s="2"/>
      <c r="D199" s="8"/>
      <c r="E199" s="8"/>
      <c r="F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2"/>
      <c r="C200" s="2"/>
      <c r="D200" s="8"/>
      <c r="E200" s="8"/>
      <c r="F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2"/>
      <c r="C201" s="2"/>
      <c r="D201" s="8"/>
      <c r="E201" s="8"/>
      <c r="F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2"/>
      <c r="C202" s="2"/>
      <c r="D202" s="8"/>
      <c r="E202" s="8"/>
      <c r="F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2"/>
      <c r="C203" s="2"/>
      <c r="D203" s="8"/>
      <c r="E203" s="8"/>
      <c r="F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2"/>
      <c r="C204" s="2"/>
      <c r="D204" s="8"/>
      <c r="E204" s="8"/>
      <c r="F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2"/>
      <c r="C205" s="2"/>
      <c r="D205" s="8"/>
      <c r="E205" s="8"/>
      <c r="F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2"/>
      <c r="C206" s="2"/>
      <c r="D206" s="8"/>
      <c r="E206" s="8"/>
      <c r="F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2"/>
      <c r="C207" s="2"/>
      <c r="D207" s="8"/>
      <c r="E207" s="8"/>
      <c r="F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2"/>
      <c r="C208" s="2"/>
      <c r="D208" s="8"/>
      <c r="E208" s="8"/>
      <c r="F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2"/>
      <c r="C209" s="2"/>
      <c r="D209" s="8"/>
      <c r="E209" s="8"/>
      <c r="F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2"/>
      <c r="C210" s="2"/>
      <c r="D210" s="8"/>
      <c r="E210" s="8"/>
      <c r="F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2"/>
      <c r="C211" s="2"/>
      <c r="D211" s="8"/>
      <c r="E211" s="8"/>
      <c r="F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2"/>
      <c r="C212" s="2"/>
      <c r="D212" s="8"/>
      <c r="E212" s="8"/>
      <c r="F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2"/>
      <c r="C213" s="2"/>
      <c r="D213" s="8"/>
      <c r="E213" s="8"/>
      <c r="F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2"/>
      <c r="C214" s="2"/>
      <c r="D214" s="8"/>
      <c r="E214" s="8"/>
      <c r="F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2"/>
      <c r="C215" s="2"/>
      <c r="D215" s="8"/>
      <c r="E215" s="8"/>
      <c r="F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2"/>
      <c r="C216" s="2"/>
      <c r="D216" s="8"/>
      <c r="E216" s="8"/>
      <c r="F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2"/>
      <c r="C217" s="2"/>
      <c r="D217" s="8"/>
      <c r="E217" s="8"/>
      <c r="F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2"/>
      <c r="C218" s="2"/>
      <c r="D218" s="8"/>
      <c r="E218" s="8"/>
      <c r="F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2"/>
      <c r="C219" s="2"/>
      <c r="D219" s="8"/>
      <c r="E219" s="8"/>
      <c r="F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2"/>
      <c r="C220" s="2"/>
      <c r="D220" s="8"/>
      <c r="E220" s="8"/>
      <c r="F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2"/>
      <c r="C221" s="2"/>
      <c r="D221" s="8"/>
      <c r="E221" s="8"/>
      <c r="F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/>
      <c r="B222" s="2"/>
      <c r="C222" s="2"/>
      <c r="D222" s="8"/>
      <c r="E222" s="8"/>
      <c r="F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/>
      <c r="B223" s="2"/>
      <c r="C223" s="2"/>
      <c r="D223" s="8"/>
      <c r="E223" s="8"/>
      <c r="F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2"/>
      <c r="C224" s="2"/>
      <c r="D224" s="8"/>
      <c r="E224" s="8"/>
      <c r="F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/>
      <c r="B225" s="2"/>
      <c r="C225" s="2"/>
      <c r="D225" s="8"/>
      <c r="E225" s="8"/>
      <c r="F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/>
      <c r="B226" s="2"/>
      <c r="C226" s="2"/>
      <c r="D226" s="8"/>
      <c r="E226" s="8"/>
      <c r="F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/>
      <c r="B227" s="2"/>
      <c r="C227" s="2"/>
      <c r="D227" s="8"/>
      <c r="E227" s="8"/>
      <c r="F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2"/>
      <c r="C228" s="2"/>
      <c r="D228" s="8"/>
      <c r="E228" s="8"/>
      <c r="F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/>
      <c r="B229" s="2"/>
      <c r="C229" s="2"/>
      <c r="D229" s="8"/>
      <c r="E229" s="8"/>
      <c r="F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/>
      <c r="B230" s="2"/>
      <c r="C230" s="2"/>
      <c r="D230" s="8"/>
      <c r="E230" s="8"/>
      <c r="F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/>
      <c r="B231" s="2"/>
      <c r="C231" s="2"/>
      <c r="D231" s="8"/>
      <c r="E231" s="8"/>
      <c r="F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/>
      <c r="B232" s="2"/>
      <c r="C232" s="2"/>
      <c r="D232" s="8"/>
      <c r="E232" s="8"/>
      <c r="F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/>
      <c r="B233" s="2"/>
      <c r="C233" s="2"/>
      <c r="D233" s="8"/>
      <c r="E233" s="8"/>
      <c r="F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/>
      <c r="B234" s="2"/>
      <c r="C234" s="2"/>
      <c r="D234" s="8"/>
      <c r="E234" s="8"/>
      <c r="F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/>
      <c r="B235" s="2"/>
      <c r="C235" s="2"/>
      <c r="D235" s="8"/>
      <c r="E235" s="8"/>
      <c r="F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/>
      <c r="B236" s="2"/>
      <c r="C236" s="2"/>
      <c r="D236" s="8"/>
      <c r="E236" s="8"/>
      <c r="F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/>
      <c r="B237" s="2"/>
      <c r="C237" s="2"/>
      <c r="D237" s="8"/>
      <c r="E237" s="8"/>
      <c r="F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/>
      <c r="B238" s="2"/>
      <c r="C238" s="2"/>
      <c r="D238" s="8"/>
      <c r="E238" s="8"/>
      <c r="F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/>
      <c r="B239" s="2"/>
      <c r="C239" s="2"/>
      <c r="D239" s="8"/>
      <c r="E239" s="8"/>
      <c r="F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/>
      <c r="B240" s="2"/>
      <c r="C240" s="2"/>
      <c r="D240" s="8"/>
      <c r="E240" s="8"/>
      <c r="F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B241" s="2"/>
      <c r="C241" s="2"/>
      <c r="D241" s="8"/>
      <c r="E241" s="8"/>
      <c r="F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2"/>
      <c r="C242" s="2"/>
      <c r="D242" s="8"/>
      <c r="E242" s="8"/>
      <c r="F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/>
      <c r="B243" s="2"/>
      <c r="C243" s="2"/>
      <c r="D243" s="8"/>
      <c r="E243" s="8"/>
      <c r="F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/>
      <c r="B244" s="2"/>
      <c r="C244" s="2"/>
      <c r="D244" s="8"/>
      <c r="E244" s="8"/>
      <c r="F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/>
      <c r="B245" s="2"/>
      <c r="C245" s="2"/>
      <c r="D245" s="8"/>
      <c r="E245" s="8"/>
      <c r="F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/>
      <c r="B246" s="2"/>
      <c r="C246" s="2"/>
      <c r="D246" s="8"/>
      <c r="E246" s="8"/>
      <c r="F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/>
      <c r="B247" s="2"/>
      <c r="C247" s="2"/>
      <c r="D247" s="8"/>
      <c r="E247" s="8"/>
      <c r="F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/>
      <c r="B248" s="2"/>
      <c r="C248" s="2"/>
      <c r="D248" s="8"/>
      <c r="E248" s="8"/>
      <c r="F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/>
      <c r="B249" s="2"/>
      <c r="C249" s="2"/>
      <c r="D249" s="8"/>
      <c r="E249" s="8"/>
      <c r="F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B250" s="2"/>
      <c r="C250" s="2"/>
      <c r="D250" s="8"/>
      <c r="E250" s="8"/>
      <c r="F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/>
      <c r="B251" s="2"/>
      <c r="C251" s="2"/>
      <c r="D251" s="8"/>
      <c r="E251" s="8"/>
      <c r="F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/>
      <c r="B252" s="2"/>
      <c r="C252" s="2"/>
      <c r="D252" s="8"/>
      <c r="E252" s="8"/>
      <c r="F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/>
      <c r="B253" s="2"/>
      <c r="C253" s="2"/>
      <c r="D253" s="8"/>
      <c r="E253" s="8"/>
      <c r="F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/>
      <c r="B254" s="2"/>
      <c r="C254" s="2"/>
      <c r="D254" s="8"/>
      <c r="E254" s="8"/>
      <c r="F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/>
      <c r="B255" s="2"/>
      <c r="C255" s="2"/>
      <c r="D255" s="8"/>
      <c r="E255" s="8"/>
      <c r="F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/>
      <c r="B256" s="2"/>
      <c r="C256" s="2"/>
      <c r="D256" s="8"/>
      <c r="E256" s="8"/>
      <c r="F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/>
      <c r="B257" s="2"/>
      <c r="C257" s="2"/>
      <c r="D257" s="8"/>
      <c r="E257" s="8"/>
      <c r="F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/>
      <c r="B258" s="2"/>
      <c r="C258" s="2"/>
      <c r="D258" s="8"/>
      <c r="E258" s="8"/>
      <c r="F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/>
      <c r="B259" s="2"/>
      <c r="C259" s="2"/>
      <c r="D259" s="8"/>
      <c r="E259" s="8"/>
      <c r="F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/>
      <c r="B260" s="2"/>
      <c r="C260" s="2"/>
      <c r="D260" s="8"/>
      <c r="E260" s="8"/>
      <c r="F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2"/>
      <c r="C261" s="2"/>
      <c r="D261" s="8"/>
      <c r="E261" s="8"/>
      <c r="F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/>
      <c r="B262" s="2"/>
      <c r="C262" s="2"/>
      <c r="D262" s="8"/>
      <c r="E262" s="8"/>
      <c r="F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/>
      <c r="B263" s="2"/>
      <c r="C263" s="2"/>
      <c r="D263" s="8"/>
      <c r="E263" s="8"/>
      <c r="F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/>
      <c r="B264" s="2"/>
      <c r="C264" s="2"/>
      <c r="D264" s="8"/>
      <c r="E264" s="8"/>
      <c r="F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2"/>
      <c r="C265" s="2"/>
      <c r="D265" s="8"/>
      <c r="E265" s="8"/>
      <c r="F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/>
      <c r="B266" s="2"/>
      <c r="C266" s="2"/>
      <c r="D266" s="8"/>
      <c r="E266" s="8"/>
      <c r="F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/>
      <c r="B267" s="2"/>
      <c r="C267" s="2"/>
      <c r="D267" s="8"/>
      <c r="E267" s="8"/>
      <c r="F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/>
      <c r="B268" s="2"/>
      <c r="C268" s="2"/>
      <c r="D268" s="8"/>
      <c r="E268" s="8"/>
      <c r="F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2"/>
      <c r="C269" s="2"/>
      <c r="D269" s="8"/>
      <c r="E269" s="8"/>
      <c r="F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/>
      <c r="B270" s="2"/>
      <c r="C270" s="2"/>
      <c r="D270" s="8"/>
      <c r="E270" s="8"/>
      <c r="F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/>
      <c r="B271" s="2"/>
      <c r="C271" s="2"/>
      <c r="D271" s="8"/>
      <c r="E271" s="8"/>
      <c r="F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/>
      <c r="B272" s="2"/>
      <c r="C272" s="2"/>
      <c r="D272" s="8"/>
      <c r="E272" s="8"/>
      <c r="F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/>
      <c r="B273" s="2"/>
      <c r="C273" s="2"/>
      <c r="D273" s="8"/>
      <c r="E273" s="8"/>
      <c r="F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/>
      <c r="B274" s="2"/>
      <c r="C274" s="2"/>
      <c r="D274" s="8"/>
      <c r="E274" s="8"/>
      <c r="F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/>
      <c r="B275" s="2"/>
      <c r="C275" s="2"/>
      <c r="D275" s="8"/>
      <c r="E275" s="8"/>
      <c r="F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/>
      <c r="B276" s="2"/>
      <c r="C276" s="2"/>
      <c r="D276" s="8"/>
      <c r="E276" s="8"/>
      <c r="F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/>
      <c r="B277" s="2"/>
      <c r="C277" s="2"/>
      <c r="D277" s="8"/>
      <c r="E277" s="8"/>
      <c r="F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2"/>
      <c r="C278" s="2"/>
      <c r="D278" s="8"/>
      <c r="E278" s="8"/>
      <c r="F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/>
      <c r="B279" s="2"/>
      <c r="C279" s="2"/>
      <c r="D279" s="8"/>
      <c r="E279" s="8"/>
      <c r="F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/>
      <c r="B280" s="2"/>
      <c r="C280" s="2"/>
      <c r="D280" s="8"/>
      <c r="E280" s="8"/>
      <c r="F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/>
      <c r="B281" s="2"/>
      <c r="C281" s="2"/>
      <c r="D281" s="8"/>
      <c r="E281" s="8"/>
      <c r="F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/>
      <c r="B282" s="2"/>
      <c r="C282" s="2"/>
      <c r="D282" s="8"/>
      <c r="E282" s="8"/>
      <c r="F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/>
      <c r="B283" s="2"/>
      <c r="C283" s="2"/>
      <c r="D283" s="8"/>
      <c r="E283" s="8"/>
      <c r="F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/>
      <c r="B284" s="2"/>
      <c r="C284" s="2"/>
      <c r="D284" s="8"/>
      <c r="E284" s="8"/>
      <c r="F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/>
      <c r="B285" s="2"/>
      <c r="C285" s="2"/>
      <c r="D285" s="8"/>
      <c r="E285" s="8"/>
      <c r="F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2"/>
      <c r="C286" s="2"/>
      <c r="D286" s="8"/>
      <c r="E286" s="8"/>
      <c r="F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/>
      <c r="B287" s="2"/>
      <c r="C287" s="2"/>
      <c r="D287" s="8"/>
      <c r="E287" s="8"/>
      <c r="F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2"/>
      <c r="C288" s="2"/>
      <c r="D288" s="8"/>
      <c r="E288" s="8"/>
      <c r="F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/>
      <c r="B289" s="2"/>
      <c r="C289" s="2"/>
      <c r="D289" s="8"/>
      <c r="E289" s="8"/>
      <c r="F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2"/>
      <c r="C290" s="2"/>
      <c r="D290" s="8"/>
      <c r="E290" s="8"/>
      <c r="F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/>
      <c r="B291" s="2"/>
      <c r="C291" s="2"/>
      <c r="D291" s="8"/>
      <c r="E291" s="8"/>
      <c r="F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2"/>
      <c r="C292" s="2"/>
      <c r="D292" s="8"/>
      <c r="E292" s="8"/>
      <c r="F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/>
      <c r="B293" s="2"/>
      <c r="C293" s="2"/>
      <c r="D293" s="8"/>
      <c r="E293" s="8"/>
      <c r="F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2"/>
      <c r="C294" s="2"/>
      <c r="D294" s="8"/>
      <c r="E294" s="8"/>
      <c r="F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/>
      <c r="B295" s="2"/>
      <c r="C295" s="2"/>
      <c r="D295" s="8"/>
      <c r="E295" s="8"/>
      <c r="F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2"/>
      <c r="C296" s="2"/>
      <c r="D296" s="8"/>
      <c r="E296" s="8"/>
      <c r="F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/>
      <c r="B297" s="2"/>
      <c r="C297" s="2"/>
      <c r="D297" s="8"/>
      <c r="E297" s="8"/>
      <c r="F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2"/>
      <c r="C298" s="2"/>
      <c r="D298" s="8"/>
      <c r="E298" s="8"/>
      <c r="F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"/>
      <c r="B299" s="2"/>
      <c r="C299" s="2"/>
      <c r="D299" s="8"/>
      <c r="E299" s="8"/>
      <c r="F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2"/>
      <c r="C300" s="2"/>
      <c r="D300" s="8"/>
      <c r="E300" s="8"/>
      <c r="F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"/>
      <c r="B301" s="2"/>
      <c r="C301" s="2"/>
      <c r="D301" s="8"/>
      <c r="E301" s="8"/>
      <c r="F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2"/>
      <c r="C302" s="2"/>
      <c r="D302" s="8"/>
      <c r="E302" s="8"/>
      <c r="F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/>
      <c r="B303" s="2"/>
      <c r="C303" s="2"/>
      <c r="D303" s="8"/>
      <c r="E303" s="8"/>
      <c r="F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2"/>
      <c r="C304" s="2"/>
      <c r="D304" s="8"/>
      <c r="E304" s="8"/>
      <c r="F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"/>
      <c r="B305" s="2"/>
      <c r="C305" s="2"/>
      <c r="D305" s="8"/>
      <c r="E305" s="8"/>
      <c r="F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2"/>
      <c r="C306" s="2"/>
      <c r="D306" s="8"/>
      <c r="E306" s="8"/>
      <c r="F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"/>
      <c r="B307" s="2"/>
      <c r="C307" s="2"/>
      <c r="D307" s="8"/>
      <c r="E307" s="8"/>
      <c r="F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0">
    <mergeCell ref="A1:B1"/>
    <mergeCell ref="D1:F1"/>
    <mergeCell ref="H1:J1"/>
    <mergeCell ref="A3:B3"/>
    <mergeCell ref="A5:B5"/>
    <mergeCell ref="A11:B11"/>
    <mergeCell ref="A13:B13"/>
    <mergeCell ref="A17:B17"/>
    <mergeCell ref="A19:B19"/>
    <mergeCell ref="A21:B21"/>
    <mergeCell ref="A23:B23"/>
    <mergeCell ref="A25:B25"/>
    <mergeCell ref="A27:B27"/>
    <mergeCell ref="A30:B30"/>
    <mergeCell ref="A32:B32"/>
    <mergeCell ref="A35:B35"/>
    <mergeCell ref="A37:B37"/>
    <mergeCell ref="A39:B39"/>
    <mergeCell ref="A41:B41"/>
    <mergeCell ref="A45:B45"/>
    <mergeCell ref="A47:B47"/>
    <mergeCell ref="A52:B52"/>
    <mergeCell ref="A54:B54"/>
    <mergeCell ref="A62:B62"/>
    <mergeCell ref="A64:B64"/>
    <mergeCell ref="A71:B71"/>
    <mergeCell ref="A73:B73"/>
    <mergeCell ref="A76:B76"/>
    <mergeCell ref="A99:B99"/>
    <mergeCell ref="A101:B101"/>
    <mergeCell ref="A103:B103"/>
    <mergeCell ref="A105:B105"/>
    <mergeCell ref="A107:B107"/>
    <mergeCell ref="A78:B78"/>
    <mergeCell ref="A81:B81"/>
    <mergeCell ref="A83:B83"/>
    <mergeCell ref="A85:B85"/>
    <mergeCell ref="A87:B87"/>
    <mergeCell ref="A90:B90"/>
    <mergeCell ref="A92:B92"/>
  </mergeCells>
  <conditionalFormatting sqref="F3:F108 F110:F1001">
    <cfRule type="cellIs" dxfId="0" priority="1" operator="greaterThan">
      <formula>$J3</formula>
    </cfRule>
  </conditionalFormatting>
  <conditionalFormatting sqref="F4:F108 F110:F1001">
    <cfRule type="cellIs" dxfId="1" priority="2" operator="lessThan">
      <formula>J4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13"/>
    <col customWidth="1" min="4" max="4" width="2.0"/>
    <col customWidth="1" min="5" max="5" width="17.5"/>
    <col customWidth="1" min="6" max="6" width="1.88"/>
    <col customWidth="1" min="7" max="7" width="13.38"/>
    <col customWidth="1" min="8" max="8" width="1.88"/>
    <col customWidth="1" min="9" max="9" width="16.88"/>
    <col customWidth="1" min="10" max="10" width="14.5"/>
    <col customWidth="1" min="11" max="11" width="18.38"/>
  </cols>
  <sheetData>
    <row r="1">
      <c r="A1" s="39" t="s">
        <v>94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ht="29.25" customHeight="1">
      <c r="A2" s="41" t="s">
        <v>95</v>
      </c>
      <c r="C2" s="42"/>
      <c r="D2" s="42"/>
      <c r="E2" s="42"/>
      <c r="F2" s="42"/>
      <c r="G2" s="42"/>
      <c r="H2" s="42"/>
      <c r="I2" s="42"/>
      <c r="J2" s="42"/>
      <c r="K2" s="42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15.75" customHeight="1">
      <c r="A3" s="10"/>
      <c r="B3" s="42"/>
      <c r="C3" s="42"/>
      <c r="D3" s="42"/>
      <c r="E3" s="42"/>
      <c r="F3" s="42"/>
      <c r="G3" s="42"/>
      <c r="H3" s="42"/>
      <c r="I3" s="37"/>
      <c r="J3" s="37"/>
      <c r="K3" s="37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15.75" customHeight="1">
      <c r="A4" s="44" t="s">
        <v>96</v>
      </c>
      <c r="B4" s="45"/>
      <c r="C4" s="45"/>
      <c r="D4" s="45"/>
      <c r="E4" s="45"/>
      <c r="F4" s="45"/>
      <c r="G4" s="45"/>
      <c r="H4" s="45"/>
      <c r="I4" s="46" t="s">
        <v>1</v>
      </c>
      <c r="J4" s="47"/>
      <c r="K4" s="48" t="s">
        <v>2</v>
      </c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50"/>
      <c r="B5" s="42"/>
      <c r="C5" s="42"/>
      <c r="D5" s="42"/>
      <c r="E5" s="42"/>
      <c r="F5" s="42"/>
      <c r="G5" s="42"/>
      <c r="H5" s="42"/>
      <c r="I5" s="51"/>
      <c r="J5" s="52"/>
      <c r="K5" s="53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44" t="s">
        <v>97</v>
      </c>
      <c r="B6" s="45"/>
      <c r="C6" s="45"/>
      <c r="D6" s="45"/>
      <c r="E6" s="45"/>
      <c r="F6" s="45"/>
      <c r="G6" s="45"/>
      <c r="H6" s="45"/>
      <c r="I6" s="46"/>
      <c r="J6" s="47"/>
      <c r="K6" s="48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43" t="s">
        <v>98</v>
      </c>
      <c r="B7" s="42"/>
      <c r="C7" s="42"/>
      <c r="D7" s="42"/>
      <c r="E7" s="42"/>
      <c r="F7" s="42"/>
      <c r="G7" s="42"/>
      <c r="H7" s="42"/>
      <c r="I7" s="35">
        <v>59200.0</v>
      </c>
      <c r="J7" s="37"/>
      <c r="K7" s="16">
        <v>59200.0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43" t="s">
        <v>99</v>
      </c>
      <c r="B8" s="42"/>
      <c r="C8" s="42"/>
      <c r="D8" s="42"/>
      <c r="E8" s="42"/>
      <c r="F8" s="42"/>
      <c r="G8" s="42"/>
      <c r="H8" s="42"/>
      <c r="I8" s="16">
        <f>ROUND(0.0035*I7,0)</f>
        <v>207</v>
      </c>
      <c r="J8" s="37"/>
      <c r="K8" s="16">
        <f>ROUND(0.007*K7,0)</f>
        <v>414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54" t="s">
        <v>100</v>
      </c>
      <c r="B9" s="42"/>
      <c r="C9" s="42"/>
      <c r="D9" s="42"/>
      <c r="E9" s="42"/>
      <c r="F9" s="42"/>
      <c r="G9" s="42"/>
      <c r="H9" s="42"/>
      <c r="I9" s="16">
        <v>350.0</v>
      </c>
      <c r="J9" s="37"/>
      <c r="K9" s="16">
        <v>350.0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3" t="s">
        <v>101</v>
      </c>
      <c r="B10" s="42"/>
      <c r="C10" s="42"/>
      <c r="D10" s="42"/>
      <c r="E10" s="42"/>
      <c r="F10" s="42"/>
      <c r="G10" s="42"/>
      <c r="H10" s="42"/>
      <c r="I10" s="16">
        <v>0.0</v>
      </c>
      <c r="J10" s="37"/>
      <c r="K10" s="16">
        <v>0.0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4" t="s">
        <v>102</v>
      </c>
      <c r="B13" s="45"/>
      <c r="C13" s="45"/>
      <c r="D13" s="45"/>
      <c r="E13" s="45"/>
      <c r="F13" s="45"/>
      <c r="G13" s="45"/>
      <c r="H13" s="45"/>
      <c r="I13" s="46"/>
      <c r="J13" s="47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26" t="s">
        <v>103</v>
      </c>
      <c r="B14" s="43"/>
      <c r="C14" s="43"/>
      <c r="D14" s="43"/>
      <c r="E14" s="43"/>
      <c r="F14" s="43"/>
      <c r="G14" s="43"/>
      <c r="H14" s="43"/>
      <c r="I14" s="55">
        <v>271.25</v>
      </c>
      <c r="J14" s="43"/>
      <c r="K14" s="43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2" t="s">
        <v>104</v>
      </c>
      <c r="B15" s="43"/>
      <c r="C15" s="43"/>
      <c r="D15" s="43"/>
      <c r="E15" s="43"/>
      <c r="F15" s="43"/>
      <c r="G15" s="43"/>
      <c r="H15" s="43"/>
      <c r="I15" s="55">
        <v>173.75</v>
      </c>
      <c r="J15" s="43"/>
      <c r="K15" s="43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2" t="s">
        <v>105</v>
      </c>
      <c r="B16" s="43"/>
      <c r="C16" s="43"/>
      <c r="D16" s="43"/>
      <c r="E16" s="43"/>
      <c r="F16" s="43"/>
      <c r="G16" s="43"/>
      <c r="H16" s="43"/>
      <c r="I16" s="55">
        <v>142.5</v>
      </c>
      <c r="J16" s="43"/>
      <c r="K16" s="4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2" t="s">
        <v>106</v>
      </c>
      <c r="B17" s="43"/>
      <c r="C17" s="43"/>
      <c r="D17" s="43"/>
      <c r="E17" s="43"/>
      <c r="F17" s="43"/>
      <c r="G17" s="43"/>
      <c r="H17" s="43"/>
      <c r="I17" s="55">
        <v>213.75</v>
      </c>
      <c r="J17" s="43"/>
      <c r="K17" s="4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2" t="s">
        <v>107</v>
      </c>
      <c r="B18" s="43"/>
      <c r="C18" s="43"/>
      <c r="D18" s="43"/>
      <c r="E18" s="43"/>
      <c r="F18" s="43"/>
      <c r="G18" s="43"/>
      <c r="H18" s="43"/>
      <c r="I18" s="55">
        <v>142.5</v>
      </c>
      <c r="J18" s="43"/>
      <c r="K18" s="4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2" t="s">
        <v>108</v>
      </c>
      <c r="B19" s="43"/>
      <c r="C19" s="43"/>
      <c r="D19" s="43"/>
      <c r="E19" s="43"/>
      <c r="F19" s="43"/>
      <c r="G19" s="43"/>
      <c r="H19" s="43"/>
      <c r="I19" s="55">
        <v>271.25</v>
      </c>
      <c r="J19" s="43"/>
      <c r="K19" s="4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56" t="s">
        <v>109</v>
      </c>
      <c r="B22" s="47"/>
      <c r="C22" s="47"/>
      <c r="D22" s="47"/>
      <c r="E22" s="47"/>
      <c r="F22" s="47"/>
      <c r="G22" s="47"/>
      <c r="H22" s="47"/>
      <c r="I22" s="57"/>
      <c r="J22" s="57"/>
      <c r="K22" s="57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ht="15.75" customHeight="1">
      <c r="A23" s="54" t="s">
        <v>110</v>
      </c>
      <c r="B23" s="43"/>
      <c r="C23" s="43"/>
      <c r="D23" s="43"/>
      <c r="E23" s="43"/>
      <c r="F23" s="43"/>
      <c r="G23" s="43"/>
      <c r="H23" s="43"/>
      <c r="I23" s="59">
        <v>109538.8</v>
      </c>
      <c r="J23" s="16"/>
      <c r="K23" s="59">
        <v>0.0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54" t="s">
        <v>111</v>
      </c>
      <c r="B24" s="43"/>
      <c r="C24" s="43"/>
      <c r="D24" s="43"/>
      <c r="E24" s="43"/>
      <c r="F24" s="43"/>
      <c r="G24" s="43"/>
      <c r="H24" s="43"/>
      <c r="I24" s="59">
        <v>45749.38</v>
      </c>
      <c r="J24" s="16"/>
      <c r="K24" s="59">
        <v>0.0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ht="15.75" customHeight="1">
      <c r="A25" s="54" t="s">
        <v>112</v>
      </c>
      <c r="B25" s="43"/>
      <c r="C25" s="43"/>
      <c r="D25" s="43"/>
      <c r="E25" s="43"/>
      <c r="F25" s="43"/>
      <c r="G25" s="43"/>
      <c r="H25" s="43"/>
      <c r="I25" s="59">
        <v>85382.75</v>
      </c>
      <c r="J25" s="16"/>
      <c r="K25" s="59">
        <v>0.0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ht="15.75" customHeight="1">
      <c r="A26" s="54" t="s">
        <v>113</v>
      </c>
      <c r="B26" s="43"/>
      <c r="C26" s="43"/>
      <c r="D26" s="43"/>
      <c r="E26" s="43"/>
      <c r="F26" s="43"/>
      <c r="G26" s="43"/>
      <c r="H26" s="43"/>
      <c r="I26" s="59">
        <v>94466.5</v>
      </c>
      <c r="J26" s="16"/>
      <c r="K26" s="59">
        <v>0.0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ht="15.75" customHeight="1">
      <c r="A27" s="54"/>
      <c r="B27" s="43"/>
      <c r="C27" s="43"/>
      <c r="D27" s="43"/>
      <c r="E27" s="43"/>
      <c r="F27" s="43"/>
      <c r="G27" s="43"/>
      <c r="H27" s="43"/>
      <c r="I27" s="59"/>
      <c r="J27" s="16"/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ht="15.75" customHeight="1">
      <c r="A28" s="54" t="s">
        <v>114</v>
      </c>
      <c r="B28" s="43"/>
      <c r="C28" s="43"/>
      <c r="D28" s="43"/>
      <c r="E28" s="43"/>
      <c r="F28" s="43"/>
      <c r="G28" s="43"/>
      <c r="H28" s="43"/>
      <c r="I28" s="60">
        <v>143692.91</v>
      </c>
      <c r="J28" s="16"/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ht="15.75" customHeight="1">
      <c r="A29" s="54" t="s">
        <v>111</v>
      </c>
      <c r="B29" s="43"/>
      <c r="C29" s="43"/>
      <c r="D29" s="43"/>
      <c r="E29" s="43"/>
      <c r="F29" s="43"/>
      <c r="G29" s="43"/>
      <c r="H29" s="43"/>
      <c r="I29" s="59">
        <v>40053.29</v>
      </c>
      <c r="J29" s="16"/>
      <c r="K29" s="59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ht="15.75" customHeight="1">
      <c r="A30" s="54" t="s">
        <v>115</v>
      </c>
      <c r="B30" s="43"/>
      <c r="C30" s="43"/>
      <c r="D30" s="43"/>
      <c r="E30" s="43"/>
      <c r="F30" s="43"/>
      <c r="G30" s="43"/>
      <c r="H30" s="43"/>
      <c r="I30" s="59">
        <v>112526.38</v>
      </c>
      <c r="J30" s="16"/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ht="15.75" customHeight="1">
      <c r="A31" s="54" t="s">
        <v>113</v>
      </c>
      <c r="B31" s="43"/>
      <c r="C31" s="43"/>
      <c r="D31" s="43"/>
      <c r="E31" s="43"/>
      <c r="F31" s="43"/>
      <c r="G31" s="43"/>
      <c r="H31" s="43"/>
      <c r="I31" s="59">
        <v>289142.2</v>
      </c>
      <c r="J31" s="16"/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ht="15.75" customHeight="1">
      <c r="A32" s="54"/>
      <c r="B32" s="43"/>
      <c r="C32" s="43"/>
      <c r="D32" s="43"/>
      <c r="E32" s="43"/>
      <c r="F32" s="43"/>
      <c r="G32" s="54" t="s">
        <v>116</v>
      </c>
      <c r="H32" s="43"/>
      <c r="I32" s="59"/>
      <c r="J32" s="16"/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ht="15.75" customHeight="1">
      <c r="A33" s="54" t="s">
        <v>117</v>
      </c>
      <c r="B33" s="43"/>
      <c r="C33" s="43"/>
      <c r="D33" s="43"/>
      <c r="E33" s="61">
        <v>1.6</v>
      </c>
      <c r="F33" s="54" t="s">
        <v>118</v>
      </c>
      <c r="G33" s="54">
        <v>0.9</v>
      </c>
      <c r="H33" s="62" t="s">
        <v>119</v>
      </c>
      <c r="I33" s="61">
        <f t="shared" ref="I33:I36" si="1">E33*G33</f>
        <v>1.44</v>
      </c>
      <c r="J33" s="16"/>
      <c r="K33" s="61">
        <v>0.0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ht="15.75" customHeight="1">
      <c r="A34" s="54" t="s">
        <v>120</v>
      </c>
      <c r="B34" s="43"/>
      <c r="C34" s="43"/>
      <c r="D34" s="43"/>
      <c r="E34" s="61">
        <v>1.5</v>
      </c>
      <c r="F34" s="54" t="s">
        <v>118</v>
      </c>
      <c r="G34" s="54">
        <v>0.9</v>
      </c>
      <c r="H34" s="62" t="s">
        <v>119</v>
      </c>
      <c r="I34" s="61">
        <f t="shared" si="1"/>
        <v>1.35</v>
      </c>
      <c r="J34" s="16"/>
      <c r="K34" s="61">
        <v>0.0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ht="15.75" customHeight="1">
      <c r="A35" s="54" t="s">
        <v>121</v>
      </c>
      <c r="B35" s="43"/>
      <c r="C35" s="43"/>
      <c r="D35" s="43"/>
      <c r="E35" s="61">
        <v>1.6</v>
      </c>
      <c r="F35" s="54" t="s">
        <v>118</v>
      </c>
      <c r="G35" s="54">
        <v>0.9</v>
      </c>
      <c r="H35" s="62" t="s">
        <v>119</v>
      </c>
      <c r="I35" s="61">
        <f t="shared" si="1"/>
        <v>1.44</v>
      </c>
      <c r="J35" s="16"/>
      <c r="K35" s="61">
        <v>0.0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ht="15.75" customHeight="1">
      <c r="A36" s="54" t="s">
        <v>122</v>
      </c>
      <c r="B36" s="43"/>
      <c r="C36" s="43"/>
      <c r="D36" s="43"/>
      <c r="E36" s="61">
        <v>3.0</v>
      </c>
      <c r="F36" s="54" t="s">
        <v>118</v>
      </c>
      <c r="G36" s="54">
        <v>0.9</v>
      </c>
      <c r="H36" s="62" t="s">
        <v>119</v>
      </c>
      <c r="I36" s="61">
        <f t="shared" si="1"/>
        <v>2.7</v>
      </c>
      <c r="J36" s="16"/>
      <c r="K36" s="61">
        <v>0.0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ht="15.75" customHeight="1">
      <c r="A37" s="54"/>
      <c r="B37" s="43"/>
      <c r="C37" s="43"/>
      <c r="D37" s="43"/>
      <c r="E37" s="43"/>
      <c r="F37" s="43"/>
      <c r="G37" s="43"/>
      <c r="H37" s="43"/>
      <c r="I37" s="59"/>
      <c r="J37" s="16"/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ht="15.75" customHeight="1">
      <c r="B38" s="43"/>
      <c r="C38" s="43"/>
      <c r="D38" s="43"/>
      <c r="E38" s="43"/>
      <c r="F38" s="43"/>
      <c r="G38" s="43"/>
      <c r="H38" s="43"/>
      <c r="I38" s="16"/>
      <c r="J38" s="16"/>
      <c r="K38" s="1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ht="15.75" customHeight="1">
      <c r="A39" s="44" t="s">
        <v>123</v>
      </c>
      <c r="B39" s="63"/>
      <c r="C39" s="63"/>
      <c r="D39" s="63"/>
      <c r="E39" s="63"/>
      <c r="F39" s="63"/>
      <c r="G39" s="63"/>
      <c r="H39" s="63"/>
      <c r="I39" s="64"/>
      <c r="J39" s="64"/>
      <c r="K39" s="64"/>
      <c r="L39" s="58"/>
      <c r="M39" s="65" t="s">
        <v>124</v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ht="15.75" customHeight="1">
      <c r="A40" s="54" t="s">
        <v>125</v>
      </c>
      <c r="B40" s="43"/>
      <c r="C40" s="43"/>
      <c r="D40" s="43"/>
      <c r="E40" s="60">
        <f>50792.01+1240.91</f>
        <v>52032.92</v>
      </c>
      <c r="F40" s="54" t="s">
        <v>126</v>
      </c>
      <c r="G40" s="66">
        <f t="shared" ref="G40:G43" si="2">I28</f>
        <v>143692.91</v>
      </c>
      <c r="H40" s="62" t="s">
        <v>119</v>
      </c>
      <c r="I40" s="67">
        <f t="shared" ref="I40:I43" si="3">E40/G40+I70</f>
        <v>0.442143666</v>
      </c>
      <c r="J40" s="16"/>
      <c r="K40" s="61">
        <v>0.0</v>
      </c>
      <c r="L40" s="68"/>
      <c r="M40" s="69" t="s">
        <v>127</v>
      </c>
      <c r="N40" s="70">
        <f t="shared" ref="N40:N43" si="4">I40+I46+I52+I58+I64</f>
        <v>1</v>
      </c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ht="15.75" customHeight="1">
      <c r="A41" s="54" t="s">
        <v>128</v>
      </c>
      <c r="B41" s="52"/>
      <c r="C41" s="52"/>
      <c r="D41" s="52"/>
      <c r="E41" s="60">
        <v>12172.69</v>
      </c>
      <c r="F41" s="71" t="s">
        <v>126</v>
      </c>
      <c r="G41" s="72">
        <f t="shared" si="2"/>
        <v>40053.29</v>
      </c>
      <c r="H41" s="62" t="s">
        <v>119</v>
      </c>
      <c r="I41" s="67">
        <f t="shared" si="3"/>
        <v>0.3555835239</v>
      </c>
      <c r="J41" s="73"/>
      <c r="K41" s="61">
        <v>0.0</v>
      </c>
      <c r="L41" s="74"/>
      <c r="M41" s="69" t="s">
        <v>129</v>
      </c>
      <c r="N41" s="70">
        <f t="shared" si="4"/>
        <v>1</v>
      </c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ht="15.75" customHeight="1">
      <c r="A42" s="54" t="s">
        <v>130</v>
      </c>
      <c r="B42" s="43"/>
      <c r="C42" s="43"/>
      <c r="D42" s="43"/>
      <c r="E42" s="60">
        <v>60828.38</v>
      </c>
      <c r="F42" s="54" t="s">
        <v>126</v>
      </c>
      <c r="G42" s="72">
        <f t="shared" si="2"/>
        <v>112526.38</v>
      </c>
      <c r="H42" s="62" t="s">
        <v>119</v>
      </c>
      <c r="I42" s="67">
        <f t="shared" si="3"/>
        <v>0.5648487048</v>
      </c>
      <c r="J42" s="16"/>
      <c r="K42" s="61">
        <v>0.0</v>
      </c>
      <c r="L42" s="43"/>
      <c r="M42" s="54" t="s">
        <v>131</v>
      </c>
      <c r="N42" s="70">
        <f t="shared" si="4"/>
        <v>1</v>
      </c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5.75" customHeight="1">
      <c r="A43" s="54" t="s">
        <v>132</v>
      </c>
      <c r="B43" s="52"/>
      <c r="C43" s="52"/>
      <c r="D43" s="52"/>
      <c r="E43" s="60">
        <v>114126.2</v>
      </c>
      <c r="F43" s="71" t="s">
        <v>126</v>
      </c>
      <c r="G43" s="72">
        <f t="shared" si="2"/>
        <v>289142.2</v>
      </c>
      <c r="H43" s="62" t="s">
        <v>119</v>
      </c>
      <c r="I43" s="67">
        <f t="shared" si="3"/>
        <v>0.4589236715</v>
      </c>
      <c r="J43" s="73"/>
      <c r="K43" s="61">
        <v>0.0</v>
      </c>
      <c r="L43" s="43"/>
      <c r="M43" s="54" t="s">
        <v>133</v>
      </c>
      <c r="N43" s="70">
        <f t="shared" si="4"/>
        <v>1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5.75" customHeight="1">
      <c r="A45" s="44" t="s">
        <v>134</v>
      </c>
      <c r="B45" s="63"/>
      <c r="C45" s="63"/>
      <c r="D45" s="63"/>
      <c r="E45" s="63"/>
      <c r="F45" s="63"/>
      <c r="G45" s="63"/>
      <c r="H45" s="63"/>
      <c r="I45" s="64"/>
      <c r="J45" s="64"/>
      <c r="K45" s="64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5.75" customHeight="1">
      <c r="A46" s="54" t="s">
        <v>125</v>
      </c>
      <c r="B46" s="43"/>
      <c r="C46" s="75"/>
      <c r="D46" s="43"/>
      <c r="E46" s="60">
        <v>47040.0</v>
      </c>
      <c r="F46" s="54" t="s">
        <v>126</v>
      </c>
      <c r="G46" s="66">
        <f t="shared" ref="G46:G49" si="5">I28</f>
        <v>143692.91</v>
      </c>
      <c r="H46" s="62" t="s">
        <v>119</v>
      </c>
      <c r="I46" s="67">
        <f t="shared" ref="I46:I49" si="6">E46/G46</f>
        <v>0.3273647948</v>
      </c>
      <c r="J46" s="16"/>
      <c r="K46" s="61">
        <v>0.0</v>
      </c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5.75" customHeight="1">
      <c r="A47" s="54" t="s">
        <v>128</v>
      </c>
      <c r="B47" s="52"/>
      <c r="C47" s="60"/>
      <c r="D47" s="52"/>
      <c r="E47" s="60">
        <v>13166.0</v>
      </c>
      <c r="F47" s="71" t="s">
        <v>126</v>
      </c>
      <c r="G47" s="72">
        <f t="shared" si="5"/>
        <v>40053.29</v>
      </c>
      <c r="H47" s="62" t="s">
        <v>119</v>
      </c>
      <c r="I47" s="67">
        <f t="shared" si="6"/>
        <v>0.3287120733</v>
      </c>
      <c r="J47" s="73"/>
      <c r="K47" s="61">
        <v>0.0</v>
      </c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5.75" customHeight="1">
      <c r="A48" s="54" t="s">
        <v>130</v>
      </c>
      <c r="B48" s="43"/>
      <c r="C48" s="60"/>
      <c r="D48" s="43"/>
      <c r="E48" s="60">
        <v>4131.0</v>
      </c>
      <c r="F48" s="54" t="s">
        <v>126</v>
      </c>
      <c r="G48" s="72">
        <f t="shared" si="5"/>
        <v>112526.38</v>
      </c>
      <c r="H48" s="62" t="s">
        <v>119</v>
      </c>
      <c r="I48" s="67">
        <f t="shared" si="6"/>
        <v>0.03671139159</v>
      </c>
      <c r="J48" s="16"/>
      <c r="K48" s="61">
        <v>0.0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5.75" customHeight="1">
      <c r="A49" s="54" t="s">
        <v>132</v>
      </c>
      <c r="B49" s="52"/>
      <c r="C49" s="60"/>
      <c r="D49" s="52"/>
      <c r="E49" s="60">
        <v>29433.0</v>
      </c>
      <c r="F49" s="71" t="s">
        <v>126</v>
      </c>
      <c r="G49" s="72">
        <f t="shared" si="5"/>
        <v>289142.2</v>
      </c>
      <c r="H49" s="62" t="s">
        <v>119</v>
      </c>
      <c r="I49" s="67">
        <f t="shared" si="6"/>
        <v>0.1017942037</v>
      </c>
      <c r="J49" s="73"/>
      <c r="K49" s="61">
        <v>0.0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5.75" customHeight="1">
      <c r="A50" s="54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5.75" customHeight="1">
      <c r="A51" s="44" t="s">
        <v>135</v>
      </c>
      <c r="B51" s="63"/>
      <c r="C51" s="63"/>
      <c r="D51" s="63"/>
      <c r="E51" s="63"/>
      <c r="F51" s="63"/>
      <c r="G51" s="63"/>
      <c r="H51" s="63"/>
      <c r="I51" s="64"/>
      <c r="J51" s="64"/>
      <c r="K51" s="64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5.75" customHeight="1">
      <c r="A52" s="54" t="s">
        <v>125</v>
      </c>
      <c r="B52" s="43"/>
      <c r="C52" s="43"/>
      <c r="D52" s="43"/>
      <c r="E52" s="60">
        <v>11610.0</v>
      </c>
      <c r="F52" s="54" t="s">
        <v>126</v>
      </c>
      <c r="G52" s="76">
        <f t="shared" ref="G52:G55" si="7">I28</f>
        <v>143692.91</v>
      </c>
      <c r="H52" s="62" t="s">
        <v>119</v>
      </c>
      <c r="I52" s="67">
        <f t="shared" ref="I52:I55" si="8">E52/G52</f>
        <v>0.08079730587</v>
      </c>
      <c r="J52" s="16"/>
      <c r="K52" s="61">
        <v>0.0</v>
      </c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5.75" customHeight="1">
      <c r="A53" s="54" t="s">
        <v>128</v>
      </c>
      <c r="B53" s="52"/>
      <c r="C53" s="52"/>
      <c r="D53" s="52"/>
      <c r="E53" s="60">
        <v>3205.0</v>
      </c>
      <c r="F53" s="71" t="s">
        <v>126</v>
      </c>
      <c r="G53" s="16">
        <f t="shared" si="7"/>
        <v>40053.29</v>
      </c>
      <c r="H53" s="62" t="s">
        <v>119</v>
      </c>
      <c r="I53" s="67">
        <f t="shared" si="8"/>
        <v>0.08001839549</v>
      </c>
      <c r="J53" s="73"/>
      <c r="K53" s="61">
        <v>0.0</v>
      </c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5.75" customHeight="1">
      <c r="A54" s="54" t="s">
        <v>130</v>
      </c>
      <c r="B54" s="43"/>
      <c r="C54" s="43"/>
      <c r="D54" s="43"/>
      <c r="E54" s="60">
        <v>28250.0</v>
      </c>
      <c r="F54" s="54" t="s">
        <v>126</v>
      </c>
      <c r="G54" s="16">
        <f t="shared" si="7"/>
        <v>112526.38</v>
      </c>
      <c r="H54" s="62" t="s">
        <v>119</v>
      </c>
      <c r="I54" s="67">
        <f t="shared" si="8"/>
        <v>0.2510522421</v>
      </c>
      <c r="J54" s="16"/>
      <c r="K54" s="61">
        <v>0.0</v>
      </c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5.75" customHeight="1">
      <c r="A55" s="54" t="s">
        <v>132</v>
      </c>
      <c r="B55" s="52"/>
      <c r="C55" s="52"/>
      <c r="D55" s="52"/>
      <c r="E55" s="60">
        <v>41410.0</v>
      </c>
      <c r="F55" s="71" t="s">
        <v>126</v>
      </c>
      <c r="G55" s="16">
        <f t="shared" si="7"/>
        <v>289142.2</v>
      </c>
      <c r="H55" s="62" t="s">
        <v>119</v>
      </c>
      <c r="I55" s="67">
        <f t="shared" si="8"/>
        <v>0.1432167287</v>
      </c>
      <c r="J55" s="73"/>
      <c r="K55" s="61">
        <v>0.0</v>
      </c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5.75" customHeight="1">
      <c r="A56" s="54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5.75" customHeight="1">
      <c r="A57" s="44" t="s">
        <v>136</v>
      </c>
      <c r="B57" s="63"/>
      <c r="C57" s="63"/>
      <c r="D57" s="63"/>
      <c r="E57" s="63"/>
      <c r="F57" s="63"/>
      <c r="G57" s="63"/>
      <c r="H57" s="63"/>
      <c r="I57" s="64"/>
      <c r="J57" s="64"/>
      <c r="K57" s="64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5.75" customHeight="1">
      <c r="A58" s="54" t="s">
        <v>125</v>
      </c>
      <c r="B58" s="43"/>
      <c r="C58" s="43"/>
      <c r="D58" s="43"/>
      <c r="E58" s="60">
        <v>5610.0</v>
      </c>
      <c r="F58" s="54" t="s">
        <v>126</v>
      </c>
      <c r="G58" s="76">
        <f t="shared" ref="G58:G61" si="9">I28</f>
        <v>143692.91</v>
      </c>
      <c r="H58" s="62" t="s">
        <v>119</v>
      </c>
      <c r="I58" s="67">
        <f t="shared" ref="I58:I61" si="10">E58/G58</f>
        <v>0.03904159224</v>
      </c>
      <c r="J58" s="16"/>
      <c r="K58" s="61">
        <v>0.0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5.75" customHeight="1">
      <c r="A59" s="54" t="s">
        <v>128</v>
      </c>
      <c r="B59" s="52"/>
      <c r="C59" s="52"/>
      <c r="D59" s="52"/>
      <c r="E59" s="60">
        <v>1115.0</v>
      </c>
      <c r="F59" s="54" t="s">
        <v>126</v>
      </c>
      <c r="G59" s="16">
        <f t="shared" si="9"/>
        <v>40053.29</v>
      </c>
      <c r="H59" s="62" t="s">
        <v>119</v>
      </c>
      <c r="I59" s="67">
        <f t="shared" si="10"/>
        <v>0.02783791294</v>
      </c>
      <c r="J59" s="73"/>
      <c r="K59" s="61">
        <v>0.0</v>
      </c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5.75" customHeight="1">
      <c r="A60" s="54" t="s">
        <v>130</v>
      </c>
      <c r="B60" s="43"/>
      <c r="C60" s="43"/>
      <c r="D60" s="43"/>
      <c r="E60" s="60">
        <v>16585.0</v>
      </c>
      <c r="F60" s="54" t="s">
        <v>126</v>
      </c>
      <c r="G60" s="16">
        <f t="shared" si="9"/>
        <v>112526.38</v>
      </c>
      <c r="H60" s="62" t="s">
        <v>119</v>
      </c>
      <c r="I60" s="67">
        <f t="shared" si="10"/>
        <v>0.1473876615</v>
      </c>
      <c r="J60" s="16"/>
      <c r="K60" s="61">
        <v>0.0</v>
      </c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5.75" customHeight="1">
      <c r="A61" s="54" t="s">
        <v>132</v>
      </c>
      <c r="B61" s="52"/>
      <c r="C61" s="52"/>
      <c r="D61" s="52"/>
      <c r="E61" s="60">
        <v>16745.0</v>
      </c>
      <c r="F61" s="54" t="s">
        <v>126</v>
      </c>
      <c r="G61" s="16">
        <f t="shared" si="9"/>
        <v>289142.2</v>
      </c>
      <c r="H61" s="62" t="s">
        <v>119</v>
      </c>
      <c r="I61" s="67">
        <f t="shared" si="10"/>
        <v>0.05791268103</v>
      </c>
      <c r="J61" s="73"/>
      <c r="K61" s="61">
        <v>0.0</v>
      </c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5.75" customHeight="1">
      <c r="A62" s="54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5.75" customHeight="1">
      <c r="A63" s="44" t="s">
        <v>137</v>
      </c>
      <c r="B63" s="63"/>
      <c r="C63" s="63"/>
      <c r="D63" s="63"/>
      <c r="E63" s="63"/>
      <c r="F63" s="63"/>
      <c r="G63" s="63"/>
      <c r="H63" s="63"/>
      <c r="I63" s="64"/>
      <c r="J63" s="64"/>
      <c r="K63" s="64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5.75" customHeight="1">
      <c r="A64" s="54" t="s">
        <v>125</v>
      </c>
      <c r="B64" s="43"/>
      <c r="C64" s="43"/>
      <c r="D64" s="43"/>
      <c r="E64" s="60">
        <v>15900.0</v>
      </c>
      <c r="F64" s="54" t="s">
        <v>126</v>
      </c>
      <c r="G64" s="76">
        <f t="shared" ref="G64:G67" si="11">I28</f>
        <v>143692.91</v>
      </c>
      <c r="H64" s="62" t="s">
        <v>119</v>
      </c>
      <c r="I64" s="67">
        <f t="shared" ref="I64:I67" si="12">E64/G64</f>
        <v>0.1106526411</v>
      </c>
      <c r="J64" s="16"/>
      <c r="K64" s="61">
        <v>0.0</v>
      </c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5.75" customHeight="1">
      <c r="A65" s="54" t="s">
        <v>128</v>
      </c>
      <c r="B65" s="52"/>
      <c r="C65" s="52"/>
      <c r="D65" s="52"/>
      <c r="E65" s="60">
        <v>8325.0</v>
      </c>
      <c r="F65" s="54" t="s">
        <v>126</v>
      </c>
      <c r="G65" s="16">
        <f t="shared" si="11"/>
        <v>40053.29</v>
      </c>
      <c r="H65" s="62" t="s">
        <v>119</v>
      </c>
      <c r="I65" s="67">
        <f t="shared" si="12"/>
        <v>0.2078480944</v>
      </c>
      <c r="J65" s="73"/>
      <c r="K65" s="61">
        <v>0.0</v>
      </c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5.75" customHeight="1">
      <c r="A66" s="54" t="s">
        <v>130</v>
      </c>
      <c r="B66" s="43"/>
      <c r="C66" s="43"/>
      <c r="D66" s="43"/>
      <c r="E66" s="60">
        <v>0.0</v>
      </c>
      <c r="F66" s="54" t="s">
        <v>126</v>
      </c>
      <c r="G66" s="16">
        <f t="shared" si="11"/>
        <v>112526.38</v>
      </c>
      <c r="H66" s="62" t="s">
        <v>119</v>
      </c>
      <c r="I66" s="67">
        <f t="shared" si="12"/>
        <v>0</v>
      </c>
      <c r="J66" s="16"/>
      <c r="K66" s="61">
        <v>0.0</v>
      </c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5.75" customHeight="1">
      <c r="A67" s="54" t="s">
        <v>132</v>
      </c>
      <c r="B67" s="52"/>
      <c r="C67" s="52"/>
      <c r="D67" s="52"/>
      <c r="E67" s="60">
        <v>68860.0</v>
      </c>
      <c r="F67" s="54" t="s">
        <v>126</v>
      </c>
      <c r="G67" s="16">
        <f t="shared" si="11"/>
        <v>289142.2</v>
      </c>
      <c r="H67" s="62" t="s">
        <v>119</v>
      </c>
      <c r="I67" s="67">
        <f t="shared" si="12"/>
        <v>0.2381527152</v>
      </c>
      <c r="J67" s="73"/>
      <c r="K67" s="61">
        <v>0.0</v>
      </c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5.75" customHeight="1">
      <c r="A69" s="44" t="s">
        <v>138</v>
      </c>
      <c r="B69" s="63"/>
      <c r="C69" s="63"/>
      <c r="D69" s="63"/>
      <c r="E69" s="63"/>
      <c r="F69" s="63"/>
      <c r="G69" s="63"/>
      <c r="H69" s="63"/>
      <c r="I69" s="64"/>
      <c r="J69" s="64"/>
      <c r="K69" s="64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5.75" customHeight="1">
      <c r="A70" s="54" t="s">
        <v>125</v>
      </c>
      <c r="B70" s="43"/>
      <c r="D70" s="43"/>
      <c r="E70" s="76">
        <f t="shared" ref="E70:E73" si="13">I28-E40-E46-E52-E58-E64</f>
        <v>11499.99</v>
      </c>
      <c r="F70" s="54" t="s">
        <v>126</v>
      </c>
      <c r="G70" s="76">
        <f t="shared" ref="G70:G73" si="14">I28</f>
        <v>143692.91</v>
      </c>
      <c r="H70" s="62" t="s">
        <v>119</v>
      </c>
      <c r="I70" s="67">
        <f t="shared" ref="I70:I73" si="15">E70/G70</f>
        <v>0.08003171486</v>
      </c>
      <c r="J70" s="16"/>
      <c r="K70" s="61">
        <v>0.0</v>
      </c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5.75" customHeight="1">
      <c r="A71" s="54" t="s">
        <v>128</v>
      </c>
      <c r="B71" s="52"/>
      <c r="C71" s="52"/>
      <c r="D71" s="52"/>
      <c r="E71" s="16">
        <f t="shared" si="13"/>
        <v>2069.6</v>
      </c>
      <c r="F71" s="54" t="s">
        <v>126</v>
      </c>
      <c r="G71" s="16">
        <f t="shared" si="14"/>
        <v>40053.29</v>
      </c>
      <c r="H71" s="62" t="s">
        <v>119</v>
      </c>
      <c r="I71" s="67">
        <f t="shared" si="15"/>
        <v>0.0516711611</v>
      </c>
      <c r="J71" s="73"/>
      <c r="K71" s="61">
        <v>0.0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15.75" customHeight="1">
      <c r="A72" s="54" t="s">
        <v>130</v>
      </c>
      <c r="B72" s="43"/>
      <c r="C72" s="43"/>
      <c r="D72" s="43"/>
      <c r="E72" s="16">
        <f t="shared" si="13"/>
        <v>2732</v>
      </c>
      <c r="F72" s="54" t="s">
        <v>126</v>
      </c>
      <c r="G72" s="16">
        <f t="shared" si="14"/>
        <v>112526.38</v>
      </c>
      <c r="H72" s="62" t="s">
        <v>119</v>
      </c>
      <c r="I72" s="67">
        <f t="shared" si="15"/>
        <v>0.02427875135</v>
      </c>
      <c r="J72" s="16"/>
      <c r="K72" s="61">
        <v>0.0</v>
      </c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15.75" customHeight="1">
      <c r="A73" s="54" t="s">
        <v>132</v>
      </c>
      <c r="B73" s="52"/>
      <c r="C73" s="52"/>
      <c r="D73" s="52"/>
      <c r="E73" s="16">
        <f t="shared" si="13"/>
        <v>18568</v>
      </c>
      <c r="F73" s="54" t="s">
        <v>126</v>
      </c>
      <c r="G73" s="16">
        <f t="shared" si="14"/>
        <v>289142.2</v>
      </c>
      <c r="H73" s="62" t="s">
        <v>119</v>
      </c>
      <c r="I73" s="67">
        <f t="shared" si="15"/>
        <v>0.06421753725</v>
      </c>
      <c r="J73" s="73"/>
      <c r="K73" s="61">
        <v>0.0</v>
      </c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">
    <mergeCell ref="A1:B1"/>
    <mergeCell ref="A2:B2"/>
  </mergeCells>
  <conditionalFormatting sqref="C46:C49">
    <cfRule type="cellIs" dxfId="0" priority="1" operator="greaterThan">
      <formula>$K40</formula>
    </cfRule>
  </conditionalFormatting>
  <conditionalFormatting sqref="J10">
    <cfRule type="cellIs" dxfId="1" priority="2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5.75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14.5"/>
    <col customWidth="1" min="12" max="12" width="18.38"/>
  </cols>
  <sheetData>
    <row r="1">
      <c r="A1" s="40" t="s">
        <v>10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39.0" customHeight="1">
      <c r="A2" s="77" t="s">
        <v>140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37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7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37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37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J45</f>
        <v>7546</v>
      </c>
      <c r="K7" s="37"/>
      <c r="L7" s="37">
        <f>L45</f>
        <v>15792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-7546</v>
      </c>
      <c r="K8" s="37"/>
      <c r="L8" s="37">
        <f>L6-L7</f>
        <v>-15792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79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16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5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16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16"/>
      <c r="L14" s="16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16"/>
      <c r="L15" s="59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0</v>
      </c>
      <c r="K16" s="83"/>
      <c r="L16" s="82">
        <f>SUM(L15)</f>
        <v>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16"/>
      <c r="L17" s="16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K18" s="16"/>
      <c r="L18" s="7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3"/>
      <c r="B19" s="43" t="s">
        <v>149</v>
      </c>
      <c r="C19" s="43"/>
      <c r="D19" s="43"/>
      <c r="E19" s="43"/>
      <c r="F19" s="43"/>
      <c r="H19" s="16"/>
      <c r="I19" s="43"/>
      <c r="J19" s="59">
        <v>0.0</v>
      </c>
      <c r="K19" s="16"/>
      <c r="L19" s="16">
        <v>350.0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3"/>
      <c r="B20" s="43" t="s">
        <v>150</v>
      </c>
      <c r="C20" s="43"/>
      <c r="D20" s="43"/>
      <c r="E20" s="43"/>
      <c r="F20" s="43"/>
      <c r="H20" s="16"/>
      <c r="I20" s="43"/>
      <c r="J20" s="59">
        <v>0.0</v>
      </c>
      <c r="K20" s="16"/>
      <c r="L20" s="16">
        <v>350.0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3"/>
      <c r="B21" s="43" t="s">
        <v>151</v>
      </c>
      <c r="C21" s="43"/>
      <c r="D21" s="43"/>
      <c r="E21" s="43"/>
      <c r="F21" s="43"/>
      <c r="G21" s="43"/>
      <c r="H21" s="16"/>
      <c r="I21" s="43"/>
      <c r="J21" s="59">
        <v>0.0</v>
      </c>
      <c r="K21" s="16"/>
      <c r="L21" s="16">
        <v>700.0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3"/>
      <c r="B22" s="43" t="s">
        <v>152</v>
      </c>
      <c r="C22" s="43"/>
      <c r="D22" s="43"/>
      <c r="E22" s="43"/>
      <c r="F22" s="43"/>
      <c r="G22" s="43"/>
      <c r="H22" s="16"/>
      <c r="I22" s="43"/>
      <c r="J22" s="59">
        <v>0.0</v>
      </c>
      <c r="K22" s="16"/>
      <c r="L22" s="16">
        <v>350.0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3"/>
      <c r="B23" s="43" t="s">
        <v>153</v>
      </c>
      <c r="C23" s="43"/>
      <c r="D23" s="43"/>
      <c r="E23" s="43"/>
      <c r="F23" s="43"/>
      <c r="G23" s="43"/>
      <c r="H23" s="16"/>
      <c r="I23" s="43"/>
      <c r="J23" s="59">
        <v>0.0</v>
      </c>
      <c r="K23" s="16"/>
      <c r="L23" s="16">
        <v>700.0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3"/>
      <c r="B24" s="43" t="s">
        <v>154</v>
      </c>
      <c r="C24" s="52"/>
      <c r="D24" s="52"/>
      <c r="E24" s="52"/>
      <c r="F24" s="43">
        <v>2.0</v>
      </c>
      <c r="G24" s="43" t="s">
        <v>155</v>
      </c>
      <c r="H24" s="16">
        <f>Parametrar!$I$9</f>
        <v>350</v>
      </c>
      <c r="I24" s="84" t="s">
        <v>119</v>
      </c>
      <c r="J24" s="16">
        <f t="shared" ref="J24:J25" si="1">F24*H24</f>
        <v>700</v>
      </c>
      <c r="L24" s="16">
        <v>700.0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3"/>
      <c r="B25" s="43" t="s">
        <v>156</v>
      </c>
      <c r="C25" s="52"/>
      <c r="D25" s="52"/>
      <c r="E25" s="52"/>
      <c r="F25" s="43">
        <v>3.0</v>
      </c>
      <c r="G25" s="43" t="s">
        <v>155</v>
      </c>
      <c r="H25" s="16">
        <f>Parametrar!$I$9</f>
        <v>350</v>
      </c>
      <c r="I25" s="84" t="s">
        <v>119</v>
      </c>
      <c r="J25" s="16">
        <f t="shared" si="1"/>
        <v>1050</v>
      </c>
      <c r="L25" s="16">
        <v>1050.0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SUM(J19:J25)</f>
        <v>1750</v>
      </c>
      <c r="K26" s="83"/>
      <c r="L26" s="82">
        <f>SUM(L19:L25)</f>
        <v>4200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3"/>
      <c r="B27" s="52"/>
      <c r="C27" s="52"/>
      <c r="D27" s="52"/>
      <c r="E27" s="52"/>
      <c r="F27" s="52"/>
      <c r="G27" s="52"/>
      <c r="H27" s="52"/>
      <c r="I27" s="52"/>
      <c r="J27" s="73"/>
      <c r="K27" s="16"/>
      <c r="L27" s="7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80">
        <v>7600.0</v>
      </c>
      <c r="B28" s="52" t="s">
        <v>157</v>
      </c>
      <c r="C28" s="43"/>
      <c r="D28" s="43"/>
      <c r="E28" s="43"/>
      <c r="F28" s="43"/>
      <c r="G28" s="43"/>
      <c r="H28" s="43"/>
      <c r="I28" s="43"/>
      <c r="J28" s="16"/>
      <c r="K28" s="16"/>
      <c r="L28" s="16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3"/>
      <c r="B29" s="43" t="s">
        <v>158</v>
      </c>
      <c r="C29" s="43"/>
      <c r="D29" s="43"/>
      <c r="E29" s="43"/>
      <c r="F29" s="43"/>
      <c r="G29" s="43"/>
      <c r="H29" s="16"/>
      <c r="I29" s="43"/>
      <c r="J29" s="16">
        <f>Parametrar!$I$8</f>
        <v>207</v>
      </c>
      <c r="K29" s="16"/>
      <c r="L29" s="16">
        <v>414.0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 t="s">
        <v>159</v>
      </c>
      <c r="C30" s="43"/>
      <c r="D30" s="43"/>
      <c r="E30" s="43"/>
      <c r="F30" s="43"/>
      <c r="G30" s="43"/>
      <c r="H30" s="16"/>
      <c r="I30" s="43"/>
      <c r="J30" s="16">
        <f>Parametrar!$I$8</f>
        <v>207</v>
      </c>
      <c r="K30" s="16"/>
      <c r="L30" s="16">
        <v>414.0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 t="s">
        <v>160</v>
      </c>
      <c r="C31" s="43"/>
      <c r="D31" s="43"/>
      <c r="E31" s="43"/>
      <c r="F31" s="43">
        <v>2.0</v>
      </c>
      <c r="G31" s="43" t="s">
        <v>155</v>
      </c>
      <c r="H31" s="16">
        <f>Parametrar!$I$8</f>
        <v>207</v>
      </c>
      <c r="I31" s="84" t="s">
        <v>119</v>
      </c>
      <c r="J31" s="16">
        <f t="shared" ref="J31:J41" si="2">F31*H31</f>
        <v>414</v>
      </c>
      <c r="K31" s="16"/>
      <c r="L31" s="16">
        <v>828.0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 t="s">
        <v>161</v>
      </c>
      <c r="C32" s="43"/>
      <c r="D32" s="43"/>
      <c r="E32" s="43"/>
      <c r="F32" s="54">
        <v>0.0</v>
      </c>
      <c r="G32" s="43" t="s">
        <v>155</v>
      </c>
      <c r="H32" s="16">
        <f>Parametrar!$I$8</f>
        <v>207</v>
      </c>
      <c r="I32" s="84" t="s">
        <v>119</v>
      </c>
      <c r="J32" s="16">
        <f t="shared" si="2"/>
        <v>0</v>
      </c>
      <c r="K32" s="16"/>
      <c r="L32" s="16">
        <v>0.0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 t="s">
        <v>162</v>
      </c>
      <c r="C33" s="43"/>
      <c r="D33" s="43"/>
      <c r="E33" s="43"/>
      <c r="F33" s="43">
        <v>2.0</v>
      </c>
      <c r="G33" s="43" t="s">
        <v>155</v>
      </c>
      <c r="H33" s="16">
        <f>Parametrar!$I$8</f>
        <v>207</v>
      </c>
      <c r="I33" s="84" t="s">
        <v>119</v>
      </c>
      <c r="J33" s="16">
        <f t="shared" si="2"/>
        <v>414</v>
      </c>
      <c r="K33" s="16"/>
      <c r="L33" s="16">
        <v>828.0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 t="s">
        <v>163</v>
      </c>
      <c r="C34" s="43"/>
      <c r="D34" s="43"/>
      <c r="E34" s="43"/>
      <c r="F34" s="43">
        <v>3.0</v>
      </c>
      <c r="G34" s="43" t="s">
        <v>155</v>
      </c>
      <c r="H34" s="16">
        <f>Parametrar!$I$8</f>
        <v>207</v>
      </c>
      <c r="I34" s="84" t="s">
        <v>119</v>
      </c>
      <c r="J34" s="16">
        <f t="shared" si="2"/>
        <v>621</v>
      </c>
      <c r="K34" s="16"/>
      <c r="L34" s="16">
        <v>1242.0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 t="s">
        <v>164</v>
      </c>
      <c r="C35" s="43"/>
      <c r="D35" s="43"/>
      <c r="E35" s="43"/>
      <c r="F35" s="43">
        <v>3.0</v>
      </c>
      <c r="G35" s="43" t="s">
        <v>155</v>
      </c>
      <c r="H35" s="16">
        <f>Parametrar!$I$8</f>
        <v>207</v>
      </c>
      <c r="I35" s="84" t="s">
        <v>119</v>
      </c>
      <c r="J35" s="16">
        <f t="shared" si="2"/>
        <v>621</v>
      </c>
      <c r="K35" s="16"/>
      <c r="L35" s="16">
        <v>1242.0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 t="s">
        <v>165</v>
      </c>
      <c r="C36" s="43"/>
      <c r="D36" s="43"/>
      <c r="E36" s="43"/>
      <c r="F36" s="43">
        <v>2.0</v>
      </c>
      <c r="G36" s="43" t="s">
        <v>155</v>
      </c>
      <c r="H36" s="16">
        <f>Parametrar!$I$8</f>
        <v>207</v>
      </c>
      <c r="I36" s="84" t="s">
        <v>119</v>
      </c>
      <c r="J36" s="16">
        <f t="shared" si="2"/>
        <v>414</v>
      </c>
      <c r="K36" s="16"/>
      <c r="L36" s="16">
        <v>828.0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 t="s">
        <v>166</v>
      </c>
      <c r="C37" s="43"/>
      <c r="D37" s="43"/>
      <c r="E37" s="43"/>
      <c r="F37" s="43">
        <v>2.0</v>
      </c>
      <c r="G37" s="43" t="s">
        <v>155</v>
      </c>
      <c r="H37" s="16">
        <f>Parametrar!$I$8</f>
        <v>207</v>
      </c>
      <c r="I37" s="84" t="s">
        <v>119</v>
      </c>
      <c r="J37" s="16">
        <f t="shared" si="2"/>
        <v>414</v>
      </c>
      <c r="K37" s="16"/>
      <c r="L37" s="16">
        <v>828.0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 t="s">
        <v>167</v>
      </c>
      <c r="C38" s="43"/>
      <c r="D38" s="43"/>
      <c r="E38" s="43"/>
      <c r="F38" s="43">
        <v>0.0</v>
      </c>
      <c r="G38" s="43" t="s">
        <v>155</v>
      </c>
      <c r="H38" s="16">
        <f>Parametrar!$I$8</f>
        <v>207</v>
      </c>
      <c r="I38" s="84" t="s">
        <v>119</v>
      </c>
      <c r="J38" s="16">
        <f t="shared" si="2"/>
        <v>0</v>
      </c>
      <c r="K38" s="16"/>
      <c r="L38" s="16">
        <v>0.0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 t="s">
        <v>168</v>
      </c>
      <c r="C39" s="43"/>
      <c r="D39" s="43"/>
      <c r="E39" s="43"/>
      <c r="F39" s="43">
        <v>8.0</v>
      </c>
      <c r="G39" s="43" t="s">
        <v>155</v>
      </c>
      <c r="H39" s="16">
        <f>Parametrar!$I$8</f>
        <v>207</v>
      </c>
      <c r="I39" s="84" t="s">
        <v>119</v>
      </c>
      <c r="J39" s="16">
        <f t="shared" si="2"/>
        <v>1656</v>
      </c>
      <c r="K39" s="16"/>
      <c r="L39" s="16">
        <v>3312.0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 t="s">
        <v>169</v>
      </c>
      <c r="C40" s="43"/>
      <c r="D40" s="43"/>
      <c r="E40" s="43"/>
      <c r="F40" s="43">
        <v>2.0</v>
      </c>
      <c r="G40" s="43" t="s">
        <v>155</v>
      </c>
      <c r="H40" s="16">
        <f>Parametrar!$I$8</f>
        <v>207</v>
      </c>
      <c r="I40" s="84" t="s">
        <v>119</v>
      </c>
      <c r="J40" s="16">
        <f t="shared" si="2"/>
        <v>414</v>
      </c>
      <c r="L40" s="16">
        <v>828.0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 t="s">
        <v>170</v>
      </c>
      <c r="C41" s="43"/>
      <c r="D41" s="43"/>
      <c r="E41" s="43"/>
      <c r="F41" s="43">
        <v>2.0</v>
      </c>
      <c r="G41" s="43" t="s">
        <v>155</v>
      </c>
      <c r="H41" s="16">
        <f>Parametrar!$I$8</f>
        <v>207</v>
      </c>
      <c r="I41" s="84" t="s">
        <v>119</v>
      </c>
      <c r="J41" s="16">
        <f t="shared" si="2"/>
        <v>414</v>
      </c>
      <c r="L41" s="16">
        <v>828.0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81" t="s">
        <v>147</v>
      </c>
      <c r="C42" s="81"/>
      <c r="D42" s="81"/>
      <c r="E42" s="81"/>
      <c r="F42" s="81"/>
      <c r="G42" s="81"/>
      <c r="H42" s="81"/>
      <c r="I42" s="81"/>
      <c r="J42" s="82">
        <f>SUM(J29:J41)</f>
        <v>5796</v>
      </c>
      <c r="K42" s="83"/>
      <c r="L42" s="82">
        <f>SUM(L29:L41)</f>
        <v>11592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58"/>
      <c r="B43" s="43"/>
      <c r="C43" s="43"/>
      <c r="D43" s="43"/>
      <c r="E43" s="43"/>
      <c r="F43" s="43"/>
      <c r="G43" s="43"/>
      <c r="H43" s="43"/>
      <c r="I43" s="43"/>
      <c r="J43" s="16"/>
      <c r="K43" s="16"/>
      <c r="L43" s="16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49"/>
      <c r="B44" s="43"/>
      <c r="C44" s="43"/>
      <c r="D44" s="43"/>
      <c r="E44" s="43"/>
      <c r="F44" s="43"/>
      <c r="G44" s="43"/>
      <c r="H44" s="43"/>
      <c r="I44" s="43"/>
      <c r="J44" s="16"/>
      <c r="K44" s="16"/>
      <c r="L44" s="16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58"/>
      <c r="B45" s="47" t="s">
        <v>4</v>
      </c>
      <c r="C45" s="47"/>
      <c r="D45" s="47"/>
      <c r="E45" s="47"/>
      <c r="F45" s="47"/>
      <c r="G45" s="47"/>
      <c r="H45" s="47"/>
      <c r="I45" s="47"/>
      <c r="J45" s="57">
        <f>SUM(J13:J44)/2</f>
        <v>7546</v>
      </c>
      <c r="K45" s="57"/>
      <c r="L45" s="57">
        <f>SUM(L14:L44)/2</f>
        <v>15792</v>
      </c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16"/>
      <c r="K46" s="16"/>
      <c r="L46" s="16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7" t="s">
        <v>5</v>
      </c>
      <c r="C47" s="47"/>
      <c r="D47" s="47"/>
      <c r="E47" s="47"/>
      <c r="F47" s="47"/>
      <c r="G47" s="47"/>
      <c r="H47" s="47"/>
      <c r="I47" s="47"/>
      <c r="J47" s="57">
        <f>J12-J45</f>
        <v>-7546</v>
      </c>
      <c r="K47" s="57"/>
      <c r="L47" s="57">
        <f>L12-L45</f>
        <v>-15792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2:C2"/>
    <mergeCell ref="A6:B6"/>
    <mergeCell ref="A7:B7"/>
    <mergeCell ref="A8:B8"/>
  </mergeCells>
  <conditionalFormatting sqref="J8:J28 J31:J996">
    <cfRule type="cellIs" dxfId="0" priority="1" operator="greaterThan">
      <formula>$L8</formula>
    </cfRule>
  </conditionalFormatting>
  <conditionalFormatting sqref="J8:L8">
    <cfRule type="cellIs" dxfId="1" priority="2" operator="lessThan">
      <formula>0</formula>
    </cfRule>
  </conditionalFormatting>
  <conditionalFormatting sqref="J15 J19:J25 J31:J41">
    <cfRule type="cellIs" dxfId="0" priority="3" operator="greaterThan">
      <formula>L15</formula>
    </cfRule>
  </conditionalFormatting>
  <conditionalFormatting sqref="J15 J19:J25 J31:J41">
    <cfRule type="cellIs" dxfId="1" priority="4" operator="lessThan">
      <formula>L15</formula>
    </cfRule>
  </conditionalFormatting>
  <printOptions horizontalCentered="1"/>
  <pageMargins bottom="0.75" footer="0.0" header="0.0" left="0.7" right="0.7" top="0.75"/>
  <pageSetup paperSize="9" cellComments="atEnd" orientation="portrait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4.7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 ht="15.75" customHeight="1">
      <c r="A1" s="40" t="s">
        <v>11</v>
      </c>
      <c r="B1" s="40" t="s">
        <v>137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171</v>
      </c>
      <c r="D2" s="42"/>
      <c r="E2" s="42"/>
      <c r="F2" s="42"/>
      <c r="G2" s="42"/>
      <c r="H2" s="42"/>
      <c r="I2" s="42"/>
      <c r="J2" s="42"/>
      <c r="K2" s="43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3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46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3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J21</f>
        <v>460595</v>
      </c>
      <c r="K6" s="43"/>
      <c r="L6" s="37">
        <f>L21</f>
        <v>436500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J66</f>
        <v>438810</v>
      </c>
      <c r="K7" s="43"/>
      <c r="L7" s="37">
        <f>L66</f>
        <v>415731.5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21785</v>
      </c>
      <c r="K8" s="43"/>
      <c r="L8" s="37">
        <f>L6-L7</f>
        <v>20768.5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173</v>
      </c>
      <c r="C13" s="43"/>
      <c r="D13" s="43"/>
      <c r="E13" s="43"/>
      <c r="F13" s="43"/>
      <c r="G13" s="43"/>
      <c r="H13" s="16"/>
      <c r="I13" s="43"/>
      <c r="J13" s="59">
        <v>0.0</v>
      </c>
      <c r="K13" s="43"/>
      <c r="L13" s="85">
        <v>399000.0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 t="s">
        <v>174</v>
      </c>
      <c r="C14" s="43"/>
      <c r="D14" s="43"/>
      <c r="E14" s="43"/>
      <c r="F14" s="54">
        <v>1321.0</v>
      </c>
      <c r="G14" s="43" t="s">
        <v>155</v>
      </c>
      <c r="H14" s="16">
        <v>25.0</v>
      </c>
      <c r="I14" s="43"/>
      <c r="J14" s="16">
        <f>F14*H14</f>
        <v>33025</v>
      </c>
      <c r="L14" s="85">
        <v>37500.0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81" t="s">
        <v>147</v>
      </c>
      <c r="C15" s="81"/>
      <c r="D15" s="81"/>
      <c r="E15" s="81"/>
      <c r="F15" s="81"/>
      <c r="G15" s="81"/>
      <c r="H15" s="81"/>
      <c r="I15" s="81"/>
      <c r="J15" s="82">
        <f>SUM(J13:J14)</f>
        <v>33025</v>
      </c>
      <c r="K15" s="31"/>
      <c r="L15" s="86">
        <f>SUM(L13:L14)</f>
        <v>436500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16"/>
      <c r="K16" s="43"/>
      <c r="L16" s="85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87">
        <v>3015.0</v>
      </c>
      <c r="B17" s="71" t="s">
        <v>175</v>
      </c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43" t="s">
        <v>173</v>
      </c>
      <c r="C18" s="43"/>
      <c r="D18" s="43"/>
      <c r="E18" s="43"/>
      <c r="F18" s="54">
        <v>1859.0</v>
      </c>
      <c r="G18" s="43" t="s">
        <v>155</v>
      </c>
      <c r="H18" s="59">
        <v>230.0</v>
      </c>
      <c r="I18" s="84" t="s">
        <v>119</v>
      </c>
      <c r="J18" s="16">
        <f>F18*H18</f>
        <v>427570</v>
      </c>
      <c r="L18" s="88">
        <v>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81" t="s">
        <v>147</v>
      </c>
      <c r="C19" s="81"/>
      <c r="D19" s="81"/>
      <c r="E19" s="81"/>
      <c r="F19" s="81"/>
      <c r="G19" s="81"/>
      <c r="H19" s="81"/>
      <c r="I19" s="81"/>
      <c r="J19" s="82">
        <f>SUM(J17:J18)</f>
        <v>427570</v>
      </c>
      <c r="K19" s="31"/>
      <c r="L19" s="86">
        <f>SUM(L17:L18)</f>
        <v>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16"/>
      <c r="K20" s="43"/>
      <c r="L20" s="85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7"/>
      <c r="B21" s="47" t="s">
        <v>3</v>
      </c>
      <c r="C21" s="47"/>
      <c r="D21" s="47"/>
      <c r="E21" s="47"/>
      <c r="F21" s="47"/>
      <c r="G21" s="47"/>
      <c r="H21" s="47"/>
      <c r="I21" s="47"/>
      <c r="J21" s="57">
        <f>SUM(J11:J19)/2</f>
        <v>460595</v>
      </c>
      <c r="K21" s="47"/>
      <c r="L21" s="89">
        <f>SUM(L11:L16)/2</f>
        <v>436500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49"/>
      <c r="Z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85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80">
        <v>4000.0</v>
      </c>
      <c r="B23" s="52" t="s">
        <v>176</v>
      </c>
      <c r="C23" s="43"/>
      <c r="D23" s="43"/>
      <c r="E23" s="43"/>
      <c r="F23" s="43"/>
      <c r="G23" s="43"/>
      <c r="H23" s="43"/>
      <c r="I23" s="43"/>
      <c r="J23" s="16"/>
      <c r="K23" s="43"/>
      <c r="L23" s="85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174</v>
      </c>
      <c r="C24" s="43"/>
      <c r="D24" s="43"/>
      <c r="E24" s="43"/>
      <c r="F24" s="54">
        <v>2000.0</v>
      </c>
      <c r="G24" s="43" t="s">
        <v>155</v>
      </c>
      <c r="H24" s="90">
        <f>7.5*0.9*1.25</f>
        <v>8.4375</v>
      </c>
      <c r="I24" s="43"/>
      <c r="J24" s="16">
        <f>F24*H24</f>
        <v>16875</v>
      </c>
      <c r="L24" s="85">
        <v>10500.0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SUM(J24)</f>
        <v>16875</v>
      </c>
      <c r="K25" s="83"/>
      <c r="L25" s="86">
        <f>SUM(L24)</f>
        <v>10500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16"/>
      <c r="L26" s="85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80">
        <v>4310.0</v>
      </c>
      <c r="B27" s="52" t="s">
        <v>177</v>
      </c>
      <c r="C27" s="43"/>
      <c r="D27" s="43"/>
      <c r="E27" s="43"/>
      <c r="F27" s="43"/>
      <c r="G27" s="43"/>
      <c r="H27" s="43"/>
      <c r="I27" s="43"/>
      <c r="J27" s="16"/>
      <c r="L27" s="85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178</v>
      </c>
      <c r="C28" s="43"/>
      <c r="D28" s="43"/>
      <c r="E28" s="43"/>
      <c r="F28" s="43"/>
      <c r="G28" s="43"/>
      <c r="H28" s="43"/>
      <c r="I28" s="43"/>
      <c r="J28" s="16">
        <v>99500.0</v>
      </c>
      <c r="L28" s="85">
        <v>99500.0</v>
      </c>
      <c r="M28" s="49"/>
      <c r="N28" s="49"/>
      <c r="O28" s="9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179</v>
      </c>
      <c r="C29" s="43"/>
      <c r="D29" s="43"/>
      <c r="E29" s="43"/>
      <c r="F29" s="43"/>
      <c r="G29" s="43"/>
      <c r="H29" s="43"/>
      <c r="I29" s="43"/>
      <c r="J29" s="16">
        <v>100000.0</v>
      </c>
      <c r="L29" s="85">
        <v>100000.0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180</v>
      </c>
      <c r="C30" s="43"/>
      <c r="D30" s="43"/>
      <c r="E30" s="43"/>
      <c r="F30" s="43"/>
      <c r="G30" s="43"/>
      <c r="H30" s="43"/>
      <c r="I30" s="43"/>
      <c r="J30" s="16">
        <v>7000.0</v>
      </c>
      <c r="L30" s="85">
        <v>7000.0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181</v>
      </c>
      <c r="C31" s="43"/>
      <c r="D31" s="43"/>
      <c r="E31" s="43"/>
      <c r="F31" s="43"/>
      <c r="G31" s="43"/>
      <c r="H31" s="43"/>
      <c r="I31" s="43"/>
      <c r="J31" s="16">
        <v>3500.0</v>
      </c>
      <c r="L31" s="85">
        <v>3500.0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182</v>
      </c>
      <c r="C32" s="43"/>
      <c r="D32" s="43"/>
      <c r="E32" s="43"/>
      <c r="F32" s="43"/>
      <c r="G32" s="43"/>
      <c r="H32" s="43"/>
      <c r="I32" s="43"/>
      <c r="J32" s="16">
        <v>3000.0</v>
      </c>
      <c r="L32" s="85">
        <v>3000.0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54" t="s">
        <v>183</v>
      </c>
      <c r="C33" s="43"/>
      <c r="D33" s="43"/>
      <c r="E33" s="43"/>
      <c r="F33" s="43"/>
      <c r="G33" s="43"/>
      <c r="H33" s="43"/>
      <c r="I33" s="43"/>
      <c r="J33" s="59">
        <v>8000.0</v>
      </c>
      <c r="L33" s="88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81" t="s">
        <v>147</v>
      </c>
      <c r="C34" s="31"/>
      <c r="D34" s="31"/>
      <c r="E34" s="31"/>
      <c r="F34" s="31"/>
      <c r="G34" s="31"/>
      <c r="H34" s="31"/>
      <c r="I34" s="31"/>
      <c r="J34" s="82">
        <f>SUM(J28:J33)</f>
        <v>221000</v>
      </c>
      <c r="K34" s="31"/>
      <c r="L34" s="86">
        <f>SUM(L28:L33)</f>
        <v>213000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52"/>
      <c r="C35" s="43"/>
      <c r="D35" s="43"/>
      <c r="E35" s="43"/>
      <c r="F35" s="43"/>
      <c r="G35" s="43"/>
      <c r="H35" s="43"/>
      <c r="I35" s="43"/>
      <c r="J35" s="73"/>
      <c r="L35" s="9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80">
        <v>6150.0</v>
      </c>
      <c r="B36" s="52" t="s">
        <v>184</v>
      </c>
      <c r="C36" s="43"/>
      <c r="D36" s="43"/>
      <c r="E36" s="43"/>
      <c r="F36" s="43"/>
      <c r="G36" s="43"/>
      <c r="H36" s="43"/>
      <c r="I36" s="43"/>
      <c r="J36" s="16"/>
      <c r="L36" s="85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 t="s">
        <v>185</v>
      </c>
      <c r="C37" s="43"/>
      <c r="D37" s="43"/>
      <c r="E37" s="43"/>
      <c r="F37" s="43"/>
      <c r="G37" s="43"/>
      <c r="H37" s="43"/>
      <c r="I37" s="43"/>
      <c r="J37" s="16">
        <v>0.0</v>
      </c>
      <c r="L37" s="16">
        <v>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81" t="s">
        <v>147</v>
      </c>
      <c r="C38" s="31"/>
      <c r="D38" s="31"/>
      <c r="E38" s="31"/>
      <c r="F38" s="31"/>
      <c r="G38" s="31"/>
      <c r="H38" s="31"/>
      <c r="I38" s="31"/>
      <c r="J38" s="82">
        <f>SUM(J37)</f>
        <v>0</v>
      </c>
      <c r="K38" s="31"/>
      <c r="L38" s="86">
        <f>SUM(L37)</f>
        <v>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16"/>
      <c r="L39" s="85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80">
        <v>6590.0</v>
      </c>
      <c r="B40" s="52" t="s">
        <v>186</v>
      </c>
      <c r="C40" s="43"/>
      <c r="D40" s="43"/>
      <c r="E40" s="43"/>
      <c r="F40" s="43"/>
      <c r="G40" s="43"/>
      <c r="H40" s="43"/>
      <c r="I40" s="43"/>
      <c r="J40" s="16"/>
      <c r="L40" s="85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187</v>
      </c>
      <c r="C41" s="43"/>
      <c r="D41" s="43"/>
      <c r="E41" s="43"/>
      <c r="F41" s="43"/>
      <c r="G41" s="43"/>
      <c r="H41" s="43"/>
      <c r="I41" s="43"/>
      <c r="J41" s="59">
        <v>20000.0</v>
      </c>
      <c r="L41" s="85">
        <v>12313.0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 t="s">
        <v>188</v>
      </c>
      <c r="C42" s="43"/>
      <c r="D42" s="43"/>
      <c r="E42" s="43"/>
      <c r="F42" s="43"/>
      <c r="G42" s="43"/>
      <c r="H42" s="43"/>
      <c r="I42" s="43"/>
      <c r="J42" s="16">
        <v>60000.0</v>
      </c>
      <c r="L42" s="85">
        <v>60000.0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81" t="s">
        <v>147</v>
      </c>
      <c r="C43" s="31"/>
      <c r="D43" s="31"/>
      <c r="E43" s="31"/>
      <c r="F43" s="31"/>
      <c r="G43" s="31"/>
      <c r="H43" s="31"/>
      <c r="I43" s="31"/>
      <c r="J43" s="82">
        <f>SUM(J41:J42)</f>
        <v>80000</v>
      </c>
      <c r="K43" s="31"/>
      <c r="L43" s="86">
        <f>SUM(L41:L42)</f>
        <v>72313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16"/>
      <c r="L44" s="85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80">
        <v>6591.0</v>
      </c>
      <c r="B45" s="52" t="s">
        <v>189</v>
      </c>
      <c r="C45" s="43"/>
      <c r="D45" s="43"/>
      <c r="E45" s="43"/>
      <c r="F45" s="43"/>
      <c r="G45" s="43"/>
      <c r="H45" s="43"/>
      <c r="I45" s="43"/>
      <c r="J45" s="16"/>
      <c r="L45" s="85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 t="s">
        <v>190</v>
      </c>
      <c r="C46" s="43"/>
      <c r="D46" s="43"/>
      <c r="E46" s="43"/>
      <c r="F46" s="43"/>
      <c r="G46" s="43"/>
      <c r="H46" s="43"/>
      <c r="I46" s="43"/>
      <c r="J46" s="16">
        <v>66500.0</v>
      </c>
      <c r="L46" s="85">
        <v>66500.0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81" t="s">
        <v>147</v>
      </c>
      <c r="C47" s="31"/>
      <c r="D47" s="31"/>
      <c r="E47" s="31"/>
      <c r="F47" s="31"/>
      <c r="G47" s="31"/>
      <c r="H47" s="31"/>
      <c r="I47" s="31"/>
      <c r="J47" s="82">
        <f>SUM(J46)</f>
        <v>66500</v>
      </c>
      <c r="K47" s="31"/>
      <c r="L47" s="86">
        <f>SUM(L46)</f>
        <v>66500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16"/>
      <c r="L48" s="85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80">
        <v>6950.0</v>
      </c>
      <c r="B49" s="52" t="s">
        <v>191</v>
      </c>
      <c r="C49" s="43"/>
      <c r="D49" s="43"/>
      <c r="E49" s="43"/>
      <c r="F49" s="43"/>
      <c r="G49" s="43"/>
      <c r="H49" s="43"/>
      <c r="I49" s="43"/>
      <c r="J49" s="16"/>
      <c r="L49" s="85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 t="s">
        <v>192</v>
      </c>
      <c r="C50" s="43"/>
      <c r="D50" s="43"/>
      <c r="E50" s="43"/>
      <c r="F50" s="43"/>
      <c r="G50" s="43"/>
      <c r="H50" s="43"/>
      <c r="I50" s="43"/>
      <c r="J50" s="16">
        <v>4870.0</v>
      </c>
      <c r="L50" s="85">
        <v>4870.0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81" t="s">
        <v>147</v>
      </c>
      <c r="C51" s="31"/>
      <c r="D51" s="31"/>
      <c r="E51" s="31"/>
      <c r="F51" s="31"/>
      <c r="G51" s="31"/>
      <c r="H51" s="31"/>
      <c r="I51" s="31"/>
      <c r="J51" s="82">
        <f>SUM(J50)</f>
        <v>4870</v>
      </c>
      <c r="K51" s="31"/>
      <c r="L51" s="86">
        <f>SUM(L50)</f>
        <v>4870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52"/>
      <c r="C52" s="52"/>
      <c r="D52" s="52"/>
      <c r="E52" s="52"/>
      <c r="F52" s="52"/>
      <c r="G52" s="52"/>
      <c r="H52" s="52"/>
      <c r="I52" s="52"/>
      <c r="J52" s="73"/>
      <c r="L52" s="9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80">
        <v>7600.0</v>
      </c>
      <c r="B53" s="52" t="s">
        <v>157</v>
      </c>
      <c r="C53" s="52"/>
      <c r="D53" s="52"/>
      <c r="E53" s="52"/>
      <c r="F53" s="52"/>
      <c r="G53" s="52"/>
      <c r="H53" s="52"/>
      <c r="I53" s="52"/>
      <c r="J53" s="73"/>
      <c r="L53" s="9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 t="s">
        <v>193</v>
      </c>
      <c r="C54" s="43"/>
      <c r="D54" s="43"/>
      <c r="E54" s="43"/>
      <c r="F54" s="43"/>
      <c r="H54" s="16"/>
      <c r="I54" s="43"/>
      <c r="J54" s="16">
        <v>24000.0</v>
      </c>
      <c r="L54" s="85">
        <v>24000.0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81" t="s">
        <v>147</v>
      </c>
      <c r="C55" s="81"/>
      <c r="D55" s="81"/>
      <c r="E55" s="81"/>
      <c r="F55" s="81"/>
      <c r="G55" s="81"/>
      <c r="H55" s="81"/>
      <c r="I55" s="81"/>
      <c r="J55" s="82">
        <f>SUM(J54)</f>
        <v>24000</v>
      </c>
      <c r="K55" s="31"/>
      <c r="L55" s="86">
        <f>SUM(L54)</f>
        <v>24000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16"/>
      <c r="L56" s="85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80">
        <v>7602.0</v>
      </c>
      <c r="B57" s="52" t="s">
        <v>194</v>
      </c>
      <c r="C57" s="52"/>
      <c r="D57" s="52"/>
      <c r="E57" s="52"/>
      <c r="F57" s="52"/>
      <c r="G57" s="52"/>
      <c r="H57" s="52"/>
      <c r="I57" s="52"/>
      <c r="J57" s="73"/>
      <c r="L57" s="9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 t="s">
        <v>195</v>
      </c>
      <c r="C58" s="43"/>
      <c r="D58" s="43">
        <v>25.0</v>
      </c>
      <c r="E58" s="43" t="s">
        <v>155</v>
      </c>
      <c r="F58" s="43">
        <v>6.0</v>
      </c>
      <c r="G58" s="43" t="s">
        <v>155</v>
      </c>
      <c r="H58" s="16">
        <v>6.0</v>
      </c>
      <c r="I58" s="84" t="s">
        <v>119</v>
      </c>
      <c r="J58" s="16">
        <f t="shared" ref="J58:J59" si="1">D58*F58*H58</f>
        <v>900</v>
      </c>
      <c r="L58" s="85">
        <v>900.0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 t="s">
        <v>196</v>
      </c>
      <c r="C59" s="43"/>
      <c r="D59" s="43">
        <v>4.0</v>
      </c>
      <c r="E59" s="43" t="s">
        <v>155</v>
      </c>
      <c r="F59" s="43">
        <v>60.0</v>
      </c>
      <c r="G59" s="43" t="s">
        <v>155</v>
      </c>
      <c r="H59" s="16">
        <v>12.0</v>
      </c>
      <c r="I59" s="84" t="s">
        <v>119</v>
      </c>
      <c r="J59" s="16">
        <f t="shared" si="1"/>
        <v>2880</v>
      </c>
      <c r="L59" s="85">
        <v>2880.0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81" t="s">
        <v>147</v>
      </c>
      <c r="C60" s="81"/>
      <c r="D60" s="81"/>
      <c r="E60" s="81"/>
      <c r="F60" s="81"/>
      <c r="G60" s="81"/>
      <c r="H60" s="81"/>
      <c r="I60" s="81"/>
      <c r="J60" s="82">
        <f>SUM(J58:J59)</f>
        <v>3780</v>
      </c>
      <c r="K60" s="31"/>
      <c r="L60" s="86">
        <f>SUM(L58:L59)</f>
        <v>3780</v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52"/>
      <c r="C61" s="52"/>
      <c r="D61" s="52"/>
      <c r="E61" s="52"/>
      <c r="F61" s="52"/>
      <c r="G61" s="52"/>
      <c r="H61" s="52"/>
      <c r="I61" s="52"/>
      <c r="J61" s="73"/>
      <c r="L61" s="9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80">
        <v>8510.0</v>
      </c>
      <c r="B62" s="52" t="s">
        <v>197</v>
      </c>
      <c r="C62" s="52"/>
      <c r="D62" s="52"/>
      <c r="E62" s="52"/>
      <c r="F62" s="52"/>
      <c r="G62" s="52"/>
      <c r="H62" s="52"/>
      <c r="I62" s="52"/>
      <c r="J62" s="73"/>
      <c r="L62" s="9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3"/>
      <c r="B63" s="43" t="s">
        <v>198</v>
      </c>
      <c r="C63" s="43"/>
      <c r="D63" s="43"/>
      <c r="E63" s="43"/>
      <c r="F63" s="43"/>
      <c r="G63" s="43"/>
      <c r="H63" s="16"/>
      <c r="I63" s="43"/>
      <c r="J63" s="16">
        <f>(J21 - SUM(J60,J55,J34,J51,J47,J43,J38,J25))/2</f>
        <v>21785</v>
      </c>
      <c r="L63" s="88">
        <v>20768.5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81" t="s">
        <v>147</v>
      </c>
      <c r="C64" s="81"/>
      <c r="D64" s="81"/>
      <c r="E64" s="81"/>
      <c r="F64" s="81"/>
      <c r="G64" s="81"/>
      <c r="H64" s="81"/>
      <c r="I64" s="81"/>
      <c r="J64" s="82">
        <f>SUM(J63)</f>
        <v>21785</v>
      </c>
      <c r="K64" s="31"/>
      <c r="L64" s="86">
        <f>SUM(L63)</f>
        <v>20768.5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16"/>
      <c r="K65" s="43"/>
      <c r="L65" s="85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7"/>
      <c r="B66" s="47" t="s">
        <v>4</v>
      </c>
      <c r="C66" s="47"/>
      <c r="D66" s="47"/>
      <c r="E66" s="47"/>
      <c r="F66" s="47"/>
      <c r="G66" s="47"/>
      <c r="H66" s="47"/>
      <c r="I66" s="47"/>
      <c r="J66" s="57">
        <f>SUM(J22:J65)/2</f>
        <v>438810</v>
      </c>
      <c r="K66" s="47"/>
      <c r="L66" s="57">
        <f>SUM(L22:L65)/2</f>
        <v>415731.5</v>
      </c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49"/>
      <c r="Z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16"/>
      <c r="K67" s="43"/>
      <c r="L67" s="16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7"/>
      <c r="B68" s="47" t="s">
        <v>5</v>
      </c>
      <c r="C68" s="47"/>
      <c r="D68" s="47"/>
      <c r="E68" s="47"/>
      <c r="F68" s="47"/>
      <c r="G68" s="47"/>
      <c r="H68" s="47"/>
      <c r="I68" s="47"/>
      <c r="J68" s="57">
        <f>J21-J66</f>
        <v>21785</v>
      </c>
      <c r="K68" s="47"/>
      <c r="L68" s="57">
        <f>L21-L66</f>
        <v>20768.5</v>
      </c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49"/>
      <c r="Z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A2:C2"/>
    <mergeCell ref="A6:B6"/>
    <mergeCell ref="A7:B7"/>
    <mergeCell ref="A8:B8"/>
  </mergeCells>
  <conditionalFormatting sqref="J13:J14 L13:L14 J18 L18 J24 L24 J28:J33 L28:L33 J37 L37 J41:J42 L41:L42 J46 L46 J50 L50 J54 L54 J58:J59 L58:L59">
    <cfRule type="cellIs" dxfId="0" priority="1" operator="greaterThan">
      <formula>L13</formula>
    </cfRule>
  </conditionalFormatting>
  <conditionalFormatting sqref="J13:J14 L13:L14 J18 L18 J24 L24 J28:J33 L28:L33 J37 L37 J41:J42 L41:L42 J46 L46 J50 L50 J54 L54 J58:J59 L58:L59">
    <cfRule type="cellIs" dxfId="1" priority="2" operator="lessThan">
      <formula>L13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6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</cols>
  <sheetData>
    <row r="1">
      <c r="A1" s="40" t="s">
        <v>12</v>
      </c>
      <c r="B1" s="40" t="s">
        <v>199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200</v>
      </c>
      <c r="D2" s="42"/>
      <c r="E2" s="42"/>
      <c r="F2" s="42"/>
      <c r="G2" s="42"/>
      <c r="H2" s="42"/>
      <c r="I2" s="42"/>
      <c r="J2" s="42"/>
      <c r="K2" s="42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J17</f>
        <v>40000</v>
      </c>
      <c r="K6" s="42"/>
      <c r="L6" s="37">
        <f>L17</f>
        <v>40000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J30</f>
        <v>41000</v>
      </c>
      <c r="K7" s="42"/>
      <c r="L7" s="37">
        <f>L30</f>
        <v>48000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-1000</v>
      </c>
      <c r="K8" s="42"/>
      <c r="L8" s="37">
        <f>L6-L7</f>
        <v>-8000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43" t="s">
        <v>201</v>
      </c>
      <c r="C13" s="43"/>
      <c r="D13" s="43"/>
      <c r="E13" s="43"/>
      <c r="F13" s="43"/>
      <c r="H13" s="16"/>
      <c r="I13" s="43"/>
      <c r="J13" s="16">
        <v>0.0</v>
      </c>
      <c r="K13" s="16"/>
      <c r="L13" s="16">
        <v>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43" t="s">
        <v>202</v>
      </c>
      <c r="C14" s="43"/>
      <c r="D14" s="43"/>
      <c r="E14" s="43"/>
      <c r="F14" s="43"/>
      <c r="G14" s="43"/>
      <c r="H14" s="16"/>
      <c r="I14" s="43"/>
      <c r="J14" s="16">
        <v>40000.0</v>
      </c>
      <c r="K14" s="16"/>
      <c r="L14" s="16">
        <v>40000.0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81" t="s">
        <v>147</v>
      </c>
      <c r="C15" s="81"/>
      <c r="D15" s="81"/>
      <c r="E15" s="81"/>
      <c r="F15" s="81"/>
      <c r="G15" s="81"/>
      <c r="H15" s="81"/>
      <c r="I15" s="81"/>
      <c r="J15" s="82">
        <f>SUM(J13:J14)</f>
        <v>40000</v>
      </c>
      <c r="K15" s="31"/>
      <c r="L15" s="82">
        <f>SUM(L13:L14)</f>
        <v>40000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16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7"/>
      <c r="B17" s="47" t="s">
        <v>3</v>
      </c>
      <c r="C17" s="47"/>
      <c r="D17" s="47"/>
      <c r="E17" s="47"/>
      <c r="F17" s="47"/>
      <c r="G17" s="47"/>
      <c r="H17" s="47"/>
      <c r="I17" s="47"/>
      <c r="J17" s="57">
        <f>SUM(J11:J16)/2</f>
        <v>40000</v>
      </c>
      <c r="K17" s="47"/>
      <c r="L17" s="57">
        <f>SUM(L11:L15)/2</f>
        <v>40000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49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80">
        <v>4000.0</v>
      </c>
      <c r="B19" s="52" t="s">
        <v>176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201</v>
      </c>
      <c r="C20" s="43"/>
      <c r="D20" s="43"/>
      <c r="E20" s="43"/>
      <c r="F20" s="43"/>
      <c r="G20" s="43"/>
      <c r="H20" s="43"/>
      <c r="I20" s="43"/>
      <c r="J20" s="16">
        <v>0.0</v>
      </c>
      <c r="K20" s="43"/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203</v>
      </c>
      <c r="C21" s="43"/>
      <c r="D21" s="43"/>
      <c r="E21" s="43"/>
      <c r="F21" s="43"/>
      <c r="G21" s="43"/>
      <c r="H21" s="43"/>
      <c r="I21" s="43"/>
      <c r="J21" s="16">
        <v>0.0</v>
      </c>
      <c r="L21" s="16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81" t="s">
        <v>147</v>
      </c>
      <c r="C22" s="31"/>
      <c r="D22" s="31"/>
      <c r="E22" s="31"/>
      <c r="F22" s="31"/>
      <c r="G22" s="31"/>
      <c r="H22" s="31"/>
      <c r="I22" s="31"/>
      <c r="J22" s="82">
        <f>SUM(J20:J21)</f>
        <v>0</v>
      </c>
      <c r="K22" s="31"/>
      <c r="L22" s="82">
        <f>SUM(L20:L21)</f>
        <v>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52"/>
      <c r="C23" s="43"/>
      <c r="D23" s="43"/>
      <c r="E23" s="43"/>
      <c r="F23" s="43"/>
      <c r="G23" s="43"/>
      <c r="H23" s="43"/>
      <c r="I23" s="43"/>
      <c r="J23" s="73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80">
        <v>4310.0</v>
      </c>
      <c r="B24" s="52" t="s">
        <v>177</v>
      </c>
      <c r="C24" s="43"/>
      <c r="D24" s="43"/>
      <c r="E24" s="43"/>
      <c r="F24" s="43"/>
      <c r="G24" s="43"/>
      <c r="H24" s="43"/>
      <c r="I24" s="43"/>
      <c r="J24" s="16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204</v>
      </c>
      <c r="C25" s="43"/>
      <c r="D25" s="43"/>
      <c r="E25" s="43"/>
      <c r="F25" s="43"/>
      <c r="G25" s="43"/>
      <c r="H25" s="43"/>
      <c r="I25" s="43"/>
      <c r="J25" s="16">
        <v>0.0</v>
      </c>
      <c r="L25" s="16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205</v>
      </c>
      <c r="C26" s="43"/>
      <c r="D26" s="43"/>
      <c r="E26" s="43"/>
      <c r="F26" s="43"/>
      <c r="G26" s="43"/>
      <c r="H26" s="43"/>
      <c r="I26" s="43"/>
      <c r="J26" s="59">
        <v>1000.0</v>
      </c>
      <c r="L26" s="16">
        <v>8000.0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206</v>
      </c>
      <c r="C27" s="43"/>
      <c r="D27" s="43"/>
      <c r="E27" s="43"/>
      <c r="F27" s="43"/>
      <c r="G27" s="43"/>
      <c r="H27" s="43"/>
      <c r="I27" s="43"/>
      <c r="J27" s="16">
        <v>40000.0</v>
      </c>
      <c r="L27" s="16">
        <v>40000.0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81" t="s">
        <v>147</v>
      </c>
      <c r="C28" s="31"/>
      <c r="D28" s="31"/>
      <c r="E28" s="31"/>
      <c r="F28" s="31"/>
      <c r="G28" s="31"/>
      <c r="H28" s="31"/>
      <c r="I28" s="31"/>
      <c r="J28" s="82">
        <f>SUM(J25:J27)</f>
        <v>41000</v>
      </c>
      <c r="K28" s="31"/>
      <c r="L28" s="82">
        <f>SUM(L25:L27)</f>
        <v>48000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16"/>
      <c r="K29" s="43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7"/>
      <c r="B30" s="47" t="s">
        <v>4</v>
      </c>
      <c r="C30" s="47"/>
      <c r="D30" s="47"/>
      <c r="E30" s="47"/>
      <c r="F30" s="47"/>
      <c r="G30" s="47"/>
      <c r="H30" s="47"/>
      <c r="I30" s="47"/>
      <c r="J30" s="57">
        <f>SUM(J18:J29)/2</f>
        <v>41000</v>
      </c>
      <c r="K30" s="47"/>
      <c r="L30" s="57">
        <f>SUM(L18:L29)/2</f>
        <v>48000</v>
      </c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16"/>
      <c r="K31" s="43"/>
      <c r="L31" s="1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7"/>
      <c r="B32" s="47" t="s">
        <v>5</v>
      </c>
      <c r="C32" s="47"/>
      <c r="D32" s="47"/>
      <c r="E32" s="47"/>
      <c r="F32" s="47"/>
      <c r="G32" s="47"/>
      <c r="H32" s="47"/>
      <c r="I32" s="47"/>
      <c r="J32" s="57">
        <f>J17-J30</f>
        <v>-1000</v>
      </c>
      <c r="K32" s="47"/>
      <c r="L32" s="57">
        <f>L17-L30</f>
        <v>-8000</v>
      </c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:J14 J20:J21 J25:J27">
    <cfRule type="cellIs" dxfId="0" priority="1" operator="greaterThan">
      <formula>L13</formula>
    </cfRule>
  </conditionalFormatting>
  <conditionalFormatting sqref="J13:J14 J20:J21 J25:J27">
    <cfRule type="cellIs" dxfId="1" priority="2" operator="lessThan">
      <formula>L13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8" cellComments="atEnd" orientation="portrait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9.25"/>
    <col customWidth="1" min="9" max="9" width="1.88"/>
    <col customWidth="1" min="10" max="10" width="16.88"/>
    <col customWidth="1" min="12" max="12" width="14.5"/>
  </cols>
  <sheetData>
    <row r="1" ht="15.75" customHeight="1">
      <c r="A1" s="40" t="s">
        <v>13</v>
      </c>
      <c r="B1" s="40" t="s">
        <v>207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208</v>
      </c>
      <c r="D2" s="42"/>
      <c r="E2" s="42"/>
      <c r="F2" s="42"/>
      <c r="G2" s="42"/>
      <c r="H2" s="42"/>
      <c r="I2" s="42"/>
      <c r="J2" s="42"/>
      <c r="K2" s="43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3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3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30000</v>
      </c>
      <c r="K6" s="43"/>
      <c r="L6" s="37">
        <f>L16</f>
        <v>30000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J38</f>
        <v>66150</v>
      </c>
      <c r="K7" s="43"/>
      <c r="L7" s="37">
        <f>L38</f>
        <v>66150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-36150</v>
      </c>
      <c r="K8" s="43"/>
      <c r="L8" s="37">
        <f>L6-L7</f>
        <v>-36150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175</v>
      </c>
      <c r="C13" s="43"/>
      <c r="D13" s="43"/>
      <c r="E13" s="43"/>
      <c r="F13" s="43"/>
      <c r="H13" s="16"/>
      <c r="I13" s="43"/>
      <c r="J13" s="16">
        <v>30000.0</v>
      </c>
      <c r="L13" s="16">
        <v>30000.0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81"/>
      <c r="D14" s="81"/>
      <c r="E14" s="81"/>
      <c r="F14" s="81"/>
      <c r="G14" s="81"/>
      <c r="H14" s="81"/>
      <c r="I14" s="81"/>
      <c r="J14" s="82">
        <f>SUM(J13)</f>
        <v>30000</v>
      </c>
      <c r="K14" s="31"/>
      <c r="L14" s="82">
        <f>L13</f>
        <v>30000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30000</v>
      </c>
      <c r="K16" s="47"/>
      <c r="L16" s="57">
        <f>SUM(L11:L15)/2</f>
        <v>30000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4310.0</v>
      </c>
      <c r="B18" s="52" t="s">
        <v>209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177</v>
      </c>
      <c r="C19" s="43"/>
      <c r="D19" s="43"/>
      <c r="E19" s="43"/>
      <c r="F19" s="43"/>
      <c r="G19" s="43"/>
      <c r="H19" s="43"/>
      <c r="I19" s="43"/>
      <c r="J19" s="16">
        <v>30000.0</v>
      </c>
      <c r="L19" s="16">
        <v>30000.0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31"/>
      <c r="D20" s="31"/>
      <c r="E20" s="31"/>
      <c r="F20" s="31"/>
      <c r="G20" s="31"/>
      <c r="H20" s="31"/>
      <c r="I20" s="31"/>
      <c r="J20" s="82">
        <f>SUM(J19)</f>
        <v>30000</v>
      </c>
      <c r="K20" s="31"/>
      <c r="L20" s="82">
        <f>SUM(L19)</f>
        <v>30000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4311.0</v>
      </c>
      <c r="B22" s="52" t="s">
        <v>210</v>
      </c>
      <c r="C22" s="43"/>
      <c r="D22" s="43"/>
      <c r="E22" s="43"/>
      <c r="F22" s="43"/>
      <c r="G22" s="43"/>
      <c r="H22" s="43"/>
      <c r="I22" s="43"/>
      <c r="J22" s="16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211</v>
      </c>
      <c r="C23" s="43"/>
      <c r="D23" s="43"/>
      <c r="E23" s="43"/>
      <c r="F23" s="43">
        <v>30.0</v>
      </c>
      <c r="G23" s="43" t="s">
        <v>155</v>
      </c>
      <c r="H23" s="16">
        <v>375.0</v>
      </c>
      <c r="I23" s="84" t="s">
        <v>119</v>
      </c>
      <c r="J23" s="16">
        <f>F23*H23</f>
        <v>11250</v>
      </c>
      <c r="L23" s="16">
        <v>24650.0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54" t="s">
        <v>212</v>
      </c>
      <c r="C24" s="43"/>
      <c r="D24" s="43"/>
      <c r="E24" s="43"/>
      <c r="F24" s="43"/>
      <c r="G24" s="43"/>
      <c r="H24" s="16"/>
      <c r="I24" s="43"/>
      <c r="J24" s="59">
        <f>13400-J25</f>
        <v>9600</v>
      </c>
      <c r="L24" s="59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213</v>
      </c>
      <c r="C25" s="43"/>
      <c r="D25" s="43"/>
      <c r="E25" s="43"/>
      <c r="F25" s="54">
        <v>2.0</v>
      </c>
      <c r="G25" s="43" t="s">
        <v>155</v>
      </c>
      <c r="H25" s="59">
        <v>1900.0</v>
      </c>
      <c r="I25" s="84" t="s">
        <v>119</v>
      </c>
      <c r="J25" s="16">
        <f>F25*H25</f>
        <v>3800</v>
      </c>
      <c r="L25" s="16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214</v>
      </c>
      <c r="C26" s="43"/>
      <c r="D26" s="43"/>
      <c r="E26" s="43"/>
      <c r="F26" s="43"/>
      <c r="G26" s="43"/>
      <c r="H26" s="43"/>
      <c r="I26" s="43"/>
      <c r="J26" s="16">
        <v>0.0</v>
      </c>
      <c r="L26" s="16">
        <v>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215</v>
      </c>
      <c r="C27" s="43"/>
      <c r="D27" s="43"/>
      <c r="E27" s="43"/>
      <c r="F27" s="43"/>
      <c r="G27" s="43"/>
      <c r="H27" s="43"/>
      <c r="I27" s="43"/>
      <c r="J27" s="16">
        <v>1000.0</v>
      </c>
      <c r="L27" s="16">
        <v>1000.0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81" t="s">
        <v>147</v>
      </c>
      <c r="C28" s="31"/>
      <c r="D28" s="31"/>
      <c r="E28" s="31"/>
      <c r="F28" s="31"/>
      <c r="G28" s="31"/>
      <c r="H28" s="31"/>
      <c r="I28" s="31"/>
      <c r="J28" s="82">
        <f>SUM(J23:J27)</f>
        <v>25650</v>
      </c>
      <c r="K28" s="31"/>
      <c r="L28" s="82">
        <f>SUM(L23:L27)</f>
        <v>25650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52"/>
      <c r="C29" s="43"/>
      <c r="D29" s="43"/>
      <c r="E29" s="43"/>
      <c r="F29" s="43"/>
      <c r="G29" s="43"/>
      <c r="H29" s="43"/>
      <c r="I29" s="43"/>
      <c r="J29" s="7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80">
        <v>8610.0</v>
      </c>
      <c r="B30" s="52" t="s">
        <v>216</v>
      </c>
      <c r="C30" s="43"/>
      <c r="D30" s="43"/>
      <c r="E30" s="43"/>
      <c r="F30" s="43"/>
      <c r="G30" s="43"/>
      <c r="H30" s="43"/>
      <c r="I30" s="43"/>
      <c r="J30" s="16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217</v>
      </c>
      <c r="C31" s="43"/>
      <c r="D31" s="43"/>
      <c r="E31" s="43"/>
      <c r="F31" s="43"/>
      <c r="G31" s="43"/>
      <c r="H31" s="43"/>
      <c r="I31" s="43"/>
      <c r="J31" s="16">
        <v>0.0</v>
      </c>
      <c r="L31" s="16">
        <v>0.0</v>
      </c>
      <c r="M31" s="49"/>
      <c r="N31" s="58"/>
      <c r="O31" s="58"/>
      <c r="P31" s="58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204</v>
      </c>
      <c r="C32" s="43"/>
      <c r="D32" s="43"/>
      <c r="E32" s="43"/>
      <c r="F32" s="43"/>
      <c r="G32" s="43"/>
      <c r="H32" s="43"/>
      <c r="I32" s="43"/>
      <c r="J32" s="16">
        <v>0.0</v>
      </c>
      <c r="L32" s="16">
        <v>0.0</v>
      </c>
      <c r="M32" s="49"/>
      <c r="N32" s="58"/>
      <c r="O32" s="58"/>
      <c r="P32" s="58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 t="s">
        <v>218</v>
      </c>
      <c r="C33" s="43"/>
      <c r="D33" s="43"/>
      <c r="E33" s="43"/>
      <c r="F33" s="43"/>
      <c r="G33" s="43"/>
      <c r="H33" s="43"/>
      <c r="I33" s="43"/>
      <c r="J33" s="16">
        <v>5000.0</v>
      </c>
      <c r="L33" s="16">
        <v>5000.0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219</v>
      </c>
      <c r="C34" s="43"/>
      <c r="D34" s="43"/>
      <c r="E34" s="43"/>
      <c r="F34" s="43"/>
      <c r="G34" s="43"/>
      <c r="H34" s="43"/>
      <c r="I34" s="43"/>
      <c r="J34" s="16">
        <v>0.0</v>
      </c>
      <c r="L34" s="16">
        <v>0.0</v>
      </c>
      <c r="M34" s="49"/>
      <c r="N34" s="58"/>
      <c r="O34" s="49"/>
      <c r="P34" s="58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215</v>
      </c>
      <c r="C35" s="43"/>
      <c r="D35" s="43"/>
      <c r="E35" s="43"/>
      <c r="F35" s="43"/>
      <c r="G35" s="43"/>
      <c r="H35" s="43"/>
      <c r="I35" s="43"/>
      <c r="J35" s="16">
        <v>5500.0</v>
      </c>
      <c r="L35" s="16">
        <v>5500.0</v>
      </c>
      <c r="M35" s="49"/>
      <c r="N35" s="58"/>
      <c r="O35" s="49"/>
      <c r="P35" s="58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81" t="s">
        <v>147</v>
      </c>
      <c r="C36" s="31"/>
      <c r="D36" s="31"/>
      <c r="E36" s="31"/>
      <c r="F36" s="31"/>
      <c r="G36" s="31"/>
      <c r="H36" s="31"/>
      <c r="I36" s="31"/>
      <c r="J36" s="82">
        <f>SUM(J31:J35)</f>
        <v>10500</v>
      </c>
      <c r="K36" s="31"/>
      <c r="L36" s="82">
        <f>SUM(L31:L35)</f>
        <v>10500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16"/>
      <c r="K37" s="43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7"/>
      <c r="B38" s="47" t="s">
        <v>4</v>
      </c>
      <c r="C38" s="47"/>
      <c r="D38" s="47"/>
      <c r="E38" s="47"/>
      <c r="F38" s="47"/>
      <c r="G38" s="47"/>
      <c r="H38" s="47"/>
      <c r="I38" s="47"/>
      <c r="J38" s="57">
        <f>SUM(J17:J37)/2</f>
        <v>66150</v>
      </c>
      <c r="K38" s="47"/>
      <c r="L38" s="57">
        <f>SUM(L17:L37)/2</f>
        <v>66150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16"/>
      <c r="K39" s="43"/>
      <c r="L39" s="16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7"/>
      <c r="B40" s="47" t="s">
        <v>5</v>
      </c>
      <c r="C40" s="47"/>
      <c r="D40" s="47"/>
      <c r="E40" s="47"/>
      <c r="F40" s="47"/>
      <c r="G40" s="47"/>
      <c r="H40" s="47"/>
      <c r="I40" s="47"/>
      <c r="J40" s="57">
        <f>J16-J38</f>
        <v>-36150</v>
      </c>
      <c r="K40" s="47"/>
      <c r="L40" s="57">
        <f>L16-L38</f>
        <v>-36150</v>
      </c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13 J19 J23:J27 J31:J35">
    <cfRule type="cellIs" dxfId="0" priority="1" operator="greaterThan">
      <formula>L13</formula>
    </cfRule>
  </conditionalFormatting>
  <conditionalFormatting sqref="J13 J19 J23:J27 J31:J35">
    <cfRule type="cellIs" dxfId="1" priority="2" operator="lessThan">
      <formula>L13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4.5"/>
  </cols>
  <sheetData>
    <row r="1" ht="15.75" customHeight="1">
      <c r="A1" s="40" t="s">
        <v>14</v>
      </c>
      <c r="B1" s="40" t="s">
        <v>220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221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J21</f>
        <v>0</v>
      </c>
      <c r="K7" s="42"/>
      <c r="L7" s="37">
        <f>L21</f>
        <v>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2"/>
      <c r="L8" s="37">
        <f>L6-L7</f>
        <v>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 ht="15.75" customHeight="1">
      <c r="A14" s="80">
        <v>5410.0</v>
      </c>
      <c r="B14" s="52" t="s">
        <v>222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</row>
    <row r="15" ht="15.75" customHeight="1">
      <c r="A15" s="43"/>
      <c r="B15" s="43" t="s">
        <v>223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58"/>
      <c r="N15" s="58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 ht="15.75" customHeight="1">
      <c r="A16" s="43"/>
      <c r="B16" s="43" t="s">
        <v>224</v>
      </c>
      <c r="C16" s="43"/>
      <c r="D16" s="43"/>
      <c r="E16" s="43"/>
      <c r="F16" s="43"/>
      <c r="G16" s="43"/>
      <c r="H16" s="43"/>
      <c r="I16" s="43"/>
      <c r="J16" s="16">
        <v>0.0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r="17" ht="15.75" customHeight="1">
      <c r="A17" s="43"/>
      <c r="B17" s="43" t="s">
        <v>225</v>
      </c>
      <c r="C17" s="43"/>
      <c r="D17" s="43"/>
      <c r="E17" s="43"/>
      <c r="F17" s="43"/>
      <c r="G17" s="43"/>
      <c r="H17" s="43"/>
      <c r="I17" s="43"/>
      <c r="J17" s="16">
        <v>0.0</v>
      </c>
      <c r="L17" s="16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</row>
    <row r="18" ht="15.75" customHeight="1">
      <c r="A18" s="43"/>
      <c r="B18" s="43" t="s">
        <v>226</v>
      </c>
      <c r="C18" s="43"/>
      <c r="D18" s="43"/>
      <c r="E18" s="43"/>
      <c r="F18" s="43"/>
      <c r="G18" s="43"/>
      <c r="H18" s="43"/>
      <c r="I18" s="43"/>
      <c r="J18" s="59">
        <v>0.0</v>
      </c>
      <c r="L18" s="59">
        <v>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</row>
    <row r="19" ht="15.75" customHeight="1">
      <c r="A19" s="43"/>
      <c r="B19" s="81" t="s">
        <v>147</v>
      </c>
      <c r="C19" s="31"/>
      <c r="D19" s="31"/>
      <c r="E19" s="31"/>
      <c r="F19" s="31"/>
      <c r="G19" s="31"/>
      <c r="H19" s="31"/>
      <c r="I19" s="31"/>
      <c r="J19" s="82">
        <f>SUM(J15:J18)</f>
        <v>0</v>
      </c>
      <c r="K19" s="31"/>
      <c r="L19" s="82">
        <f>SUM(L15:L18)</f>
        <v>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16"/>
      <c r="K20" s="43"/>
      <c r="L20" s="16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 ht="15.75" customHeight="1">
      <c r="A21" s="47"/>
      <c r="B21" s="47" t="s">
        <v>4</v>
      </c>
      <c r="C21" s="47"/>
      <c r="D21" s="47"/>
      <c r="E21" s="47"/>
      <c r="F21" s="47"/>
      <c r="G21" s="47"/>
      <c r="H21" s="47"/>
      <c r="I21" s="47"/>
      <c r="J21" s="57">
        <f>SUM(J13:J20)/2</f>
        <v>0</v>
      </c>
      <c r="K21" s="47"/>
      <c r="L21" s="57">
        <f>SUM(L15:L19)/2</f>
        <v>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r="23" ht="15.75" customHeight="1">
      <c r="A23" s="47"/>
      <c r="B23" s="47" t="s">
        <v>5</v>
      </c>
      <c r="C23" s="47"/>
      <c r="D23" s="47"/>
      <c r="E23" s="47"/>
      <c r="F23" s="47"/>
      <c r="G23" s="47"/>
      <c r="H23" s="47"/>
      <c r="I23" s="47"/>
      <c r="J23" s="57">
        <f>J12-J21</f>
        <v>0</v>
      </c>
      <c r="K23" s="47"/>
      <c r="L23" s="57">
        <f>L12-L21</f>
        <v>0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:J18">
    <cfRule type="cellIs" dxfId="0" priority="1" operator="greaterThan">
      <formula>L15</formula>
    </cfRule>
  </conditionalFormatting>
  <conditionalFormatting sqref="J15:J18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38"/>
  </cols>
  <sheetData>
    <row r="1" ht="15.75" customHeight="1">
      <c r="A1" s="40" t="s">
        <v>17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227</v>
      </c>
      <c r="D2" s="42"/>
      <c r="E2" s="42"/>
      <c r="F2" s="42"/>
      <c r="G2" s="42"/>
      <c r="H2" s="42"/>
      <c r="I2" s="42"/>
      <c r="J2" s="42"/>
      <c r="K2" s="43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3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3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3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J42</f>
        <v>28818</v>
      </c>
      <c r="K7" s="43"/>
      <c r="L7" s="37">
        <f>L42</f>
        <v>42712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-28818</v>
      </c>
      <c r="K8" s="43"/>
      <c r="L8" s="37">
        <f>L6-L7</f>
        <v>-42712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7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145</v>
      </c>
      <c r="C14" s="52"/>
      <c r="D14" s="52"/>
      <c r="E14" s="52"/>
      <c r="F14" s="52"/>
      <c r="G14" s="52"/>
      <c r="H14" s="52"/>
      <c r="I14" s="52"/>
      <c r="J14" s="73"/>
      <c r="K14" s="43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228</v>
      </c>
      <c r="D15" s="43"/>
      <c r="E15" s="43"/>
      <c r="F15" s="43">
        <v>4.0</v>
      </c>
      <c r="G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229</v>
      </c>
      <c r="D16" s="43"/>
      <c r="E16" s="43"/>
      <c r="F16" s="43">
        <v>7.0</v>
      </c>
      <c r="G16" s="43"/>
      <c r="I16" s="43"/>
      <c r="J16" s="16"/>
      <c r="K16" s="43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43" t="s">
        <v>230</v>
      </c>
      <c r="D17" s="43"/>
      <c r="E17" s="43"/>
      <c r="F17" s="54">
        <v>3.0</v>
      </c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 t="s">
        <v>231</v>
      </c>
      <c r="D18" s="43"/>
      <c r="E18" s="43"/>
      <c r="F18" s="43">
        <v>7.0</v>
      </c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/>
      <c r="D19" s="43"/>
      <c r="E19" s="43"/>
      <c r="F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232</v>
      </c>
      <c r="D20" s="43"/>
      <c r="E20" s="43"/>
      <c r="F20" s="43">
        <f>F15*F16*F17*F18</f>
        <v>588</v>
      </c>
      <c r="G20" s="43" t="s">
        <v>155</v>
      </c>
      <c r="H20" s="59">
        <v>30.0</v>
      </c>
      <c r="I20" s="84" t="s">
        <v>119</v>
      </c>
      <c r="J20" s="16">
        <f>F20*H20</f>
        <v>17640</v>
      </c>
      <c r="L20" s="16">
        <v>15456.0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146</v>
      </c>
      <c r="C21" s="43"/>
      <c r="D21" s="43"/>
      <c r="E21" s="43"/>
      <c r="F21" s="43"/>
      <c r="G21" s="43"/>
      <c r="H21" s="43"/>
      <c r="I21" s="43"/>
      <c r="J21" s="16">
        <v>0.0</v>
      </c>
      <c r="L21" s="16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81" t="s">
        <v>147</v>
      </c>
      <c r="C22" s="81"/>
      <c r="D22" s="81"/>
      <c r="E22" s="81"/>
      <c r="F22" s="81"/>
      <c r="G22" s="81"/>
      <c r="H22" s="81"/>
      <c r="I22" s="81"/>
      <c r="J22" s="82">
        <f>SUM(J15:J21)</f>
        <v>17640</v>
      </c>
      <c r="K22" s="31"/>
      <c r="L22" s="82">
        <f>SUM(L20:L21)</f>
        <v>15456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52"/>
      <c r="C23" s="43"/>
      <c r="D23" s="43"/>
      <c r="E23" s="43"/>
      <c r="F23" s="43"/>
      <c r="G23" s="43"/>
      <c r="H23" s="43"/>
      <c r="I23" s="43"/>
      <c r="J23" s="73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80">
        <v>5480.0</v>
      </c>
      <c r="B24" s="52" t="s">
        <v>148</v>
      </c>
      <c r="C24" s="52"/>
      <c r="D24" s="52"/>
      <c r="E24" s="52"/>
      <c r="F24" s="52"/>
      <c r="G24" s="52"/>
      <c r="H24" s="52"/>
      <c r="I24" s="52"/>
      <c r="J24" s="73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233</v>
      </c>
      <c r="C25" s="43"/>
      <c r="D25" s="43"/>
      <c r="E25" s="43"/>
      <c r="F25" s="43"/>
      <c r="G25" s="43"/>
      <c r="H25" s="16"/>
      <c r="I25" s="43"/>
      <c r="J25" s="59">
        <v>0.0</v>
      </c>
      <c r="L25" s="16">
        <v>350.0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234</v>
      </c>
      <c r="C26" s="43"/>
      <c r="D26" s="43"/>
      <c r="E26" s="43"/>
      <c r="F26" s="43"/>
      <c r="G26" s="43"/>
      <c r="H26" s="16"/>
      <c r="I26" s="43"/>
      <c r="J26" s="59">
        <v>0.0</v>
      </c>
      <c r="L26" s="16">
        <v>350.0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235</v>
      </c>
      <c r="C27" s="43"/>
      <c r="D27" s="43"/>
      <c r="E27" s="43"/>
      <c r="F27" s="43"/>
      <c r="G27" s="43"/>
      <c r="H27" s="16"/>
      <c r="I27" s="43"/>
      <c r="J27" s="59">
        <v>0.0</v>
      </c>
      <c r="L27" s="16">
        <v>700.0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236</v>
      </c>
      <c r="C28" s="43"/>
      <c r="D28" s="43"/>
      <c r="E28" s="43"/>
      <c r="F28" s="43"/>
      <c r="G28" s="43"/>
      <c r="H28" s="16"/>
      <c r="I28" s="43"/>
      <c r="J28" s="59">
        <v>0.0</v>
      </c>
      <c r="L28" s="16">
        <v>2800.0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237</v>
      </c>
      <c r="C29" s="43"/>
      <c r="D29" s="43"/>
      <c r="E29" s="43"/>
      <c r="F29" s="43"/>
      <c r="G29" s="43"/>
      <c r="H29" s="16"/>
      <c r="I29" s="43"/>
      <c r="J29" s="59">
        <v>0.0</v>
      </c>
      <c r="L29" s="16">
        <v>700.0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81" t="s">
        <v>147</v>
      </c>
      <c r="C30" s="81"/>
      <c r="D30" s="81"/>
      <c r="E30" s="81"/>
      <c r="F30" s="81"/>
      <c r="G30" s="81"/>
      <c r="H30" s="81"/>
      <c r="I30" s="81"/>
      <c r="J30" s="82">
        <f>SUM(J25:J29)</f>
        <v>0</v>
      </c>
      <c r="K30" s="31"/>
      <c r="L30" s="82">
        <f>SUM(L25:L29)</f>
        <v>4900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52"/>
      <c r="C31" s="43"/>
      <c r="D31" s="43"/>
      <c r="E31" s="43"/>
      <c r="F31" s="43"/>
      <c r="G31" s="43"/>
      <c r="H31" s="43"/>
      <c r="I31" s="43"/>
      <c r="J31" s="73"/>
      <c r="L31" s="7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80">
        <v>7600.0</v>
      </c>
      <c r="B32" s="52" t="s">
        <v>157</v>
      </c>
      <c r="C32" s="43"/>
      <c r="D32" s="43"/>
      <c r="E32" s="43"/>
      <c r="F32" s="43"/>
      <c r="G32" s="43"/>
      <c r="H32" s="43"/>
      <c r="I32" s="43"/>
      <c r="J32" s="16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 t="s">
        <v>238</v>
      </c>
      <c r="C33" s="43"/>
      <c r="D33" s="43"/>
      <c r="E33" s="43"/>
      <c r="F33" s="43"/>
      <c r="G33" s="43"/>
      <c r="H33" s="16"/>
      <c r="I33" s="43"/>
      <c r="J33" s="16">
        <f>Parametrar!$I$8</f>
        <v>207</v>
      </c>
      <c r="L33" s="16">
        <v>414.0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239</v>
      </c>
      <c r="C34" s="43"/>
      <c r="D34" s="43"/>
      <c r="E34" s="43"/>
      <c r="F34" s="43"/>
      <c r="G34" s="43"/>
      <c r="H34" s="16"/>
      <c r="I34" s="43"/>
      <c r="J34" s="16">
        <f>Parametrar!$I$8</f>
        <v>207</v>
      </c>
      <c r="L34" s="16">
        <v>414.0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 t="s">
        <v>240</v>
      </c>
      <c r="C35" s="43"/>
      <c r="D35" s="43"/>
      <c r="E35" s="43"/>
      <c r="F35" s="43">
        <v>2.0</v>
      </c>
      <c r="G35" s="43" t="s">
        <v>155</v>
      </c>
      <c r="H35" s="16">
        <f>Parametrar!$I$8</f>
        <v>207</v>
      </c>
      <c r="I35" s="43"/>
      <c r="J35" s="16">
        <f t="shared" ref="J35:J39" si="1">F35*H35</f>
        <v>414</v>
      </c>
      <c r="L35" s="16">
        <v>828.0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241</v>
      </c>
      <c r="C36" s="43"/>
      <c r="D36" s="43"/>
      <c r="E36" s="43"/>
      <c r="F36" s="43">
        <v>8.0</v>
      </c>
      <c r="G36" s="43" t="s">
        <v>155</v>
      </c>
      <c r="H36" s="16">
        <f>Parametrar!$I$8</f>
        <v>207</v>
      </c>
      <c r="I36" s="84" t="s">
        <v>119</v>
      </c>
      <c r="J36" s="16">
        <f t="shared" si="1"/>
        <v>1656</v>
      </c>
      <c r="L36" s="16">
        <v>3312.0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 t="s">
        <v>242</v>
      </c>
      <c r="C37" s="43"/>
      <c r="D37" s="43"/>
      <c r="E37" s="43"/>
      <c r="F37" s="43">
        <v>2.0</v>
      </c>
      <c r="G37" s="43" t="s">
        <v>155</v>
      </c>
      <c r="H37" s="16">
        <f>Parametrar!$I$8</f>
        <v>207</v>
      </c>
      <c r="I37" s="84" t="s">
        <v>119</v>
      </c>
      <c r="J37" s="16">
        <f t="shared" si="1"/>
        <v>414</v>
      </c>
      <c r="L37" s="16">
        <v>828.0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 t="s">
        <v>243</v>
      </c>
      <c r="C38" s="43"/>
      <c r="D38" s="43"/>
      <c r="E38" s="43"/>
      <c r="F38" s="43">
        <v>5.0</v>
      </c>
      <c r="G38" s="43" t="s">
        <v>118</v>
      </c>
      <c r="H38" s="16">
        <f>Parametrar!$I$8</f>
        <v>207</v>
      </c>
      <c r="I38" s="84" t="s">
        <v>119</v>
      </c>
      <c r="J38" s="16">
        <f t="shared" si="1"/>
        <v>1035</v>
      </c>
      <c r="L38" s="16">
        <v>2070.0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 t="s">
        <v>168</v>
      </c>
      <c r="C39" s="43"/>
      <c r="D39" s="43"/>
      <c r="E39" s="43"/>
      <c r="F39" s="43">
        <v>35.0</v>
      </c>
      <c r="G39" s="43" t="s">
        <v>155</v>
      </c>
      <c r="H39" s="16">
        <f>Parametrar!$I$8</f>
        <v>207</v>
      </c>
      <c r="I39" s="84" t="s">
        <v>119</v>
      </c>
      <c r="J39" s="16">
        <f t="shared" si="1"/>
        <v>7245</v>
      </c>
      <c r="L39" s="16">
        <v>14490.0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81" t="s">
        <v>147</v>
      </c>
      <c r="C40" s="31"/>
      <c r="D40" s="31"/>
      <c r="E40" s="31"/>
      <c r="F40" s="31"/>
      <c r="G40" s="31"/>
      <c r="H40" s="31"/>
      <c r="I40" s="31"/>
      <c r="J40" s="82">
        <f>SUM(J33:J39)</f>
        <v>11178</v>
      </c>
      <c r="K40" s="31"/>
      <c r="L40" s="82">
        <f>SUM(L33:L39)</f>
        <v>22356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7"/>
      <c r="B42" s="47" t="s">
        <v>4</v>
      </c>
      <c r="C42" s="47"/>
      <c r="D42" s="47"/>
      <c r="E42" s="47"/>
      <c r="F42" s="47"/>
      <c r="G42" s="47"/>
      <c r="H42" s="47"/>
      <c r="I42" s="47"/>
      <c r="J42" s="57">
        <f>SUM(J13:J41)/2</f>
        <v>28818</v>
      </c>
      <c r="K42" s="47"/>
      <c r="L42" s="57">
        <f>SUM(L13:L41)/2</f>
        <v>42712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16"/>
      <c r="K43" s="43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7"/>
      <c r="B44" s="47" t="s">
        <v>5</v>
      </c>
      <c r="C44" s="47"/>
      <c r="D44" s="47"/>
      <c r="E44" s="47"/>
      <c r="F44" s="47"/>
      <c r="G44" s="47"/>
      <c r="H44" s="47"/>
      <c r="I44" s="47"/>
      <c r="J44" s="57">
        <f>J12-J42</f>
        <v>-28818</v>
      </c>
      <c r="K44" s="47"/>
      <c r="L44" s="57">
        <f>L12-L42</f>
        <v>-42712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20:J21 J25:J29 J35:J37 J39">
    <cfRule type="cellIs" dxfId="0" priority="1" operator="greaterThan">
      <formula>L20</formula>
    </cfRule>
  </conditionalFormatting>
  <conditionalFormatting sqref="J20:J21 J25:J29 J35:J37 J39">
    <cfRule type="cellIs" dxfId="1" priority="2" operator="lessThan">
      <formula>L20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>
      <c r="A1" s="40" t="s">
        <v>18</v>
      </c>
      <c r="B1" s="40" t="s">
        <v>244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245</v>
      </c>
      <c r="D2" s="42"/>
      <c r="E2" s="42"/>
      <c r="F2" s="42"/>
      <c r="G2" s="42"/>
      <c r="H2" s="42"/>
      <c r="I2" s="42"/>
      <c r="J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J25</f>
        <v>124710</v>
      </c>
      <c r="K6" s="42"/>
      <c r="L6" s="37">
        <f>L25</f>
        <v>141510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J35</f>
        <v>98740</v>
      </c>
      <c r="K7" s="42"/>
      <c r="L7" s="37">
        <f>L35</f>
        <v>96220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25970</v>
      </c>
      <c r="K8" s="42"/>
      <c r="L8" s="37">
        <f>L6-L7</f>
        <v>45290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3" t="s">
        <v>246</v>
      </c>
      <c r="C12" s="43"/>
      <c r="D12" s="43">
        <f>PRODUCT(CAFE01!F15:F17)</f>
        <v>84</v>
      </c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247</v>
      </c>
      <c r="C13" s="43"/>
      <c r="D13" s="43">
        <v>40.0</v>
      </c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 t="s">
        <v>248</v>
      </c>
      <c r="C14" s="43"/>
      <c r="D14" s="54">
        <v>25.0</v>
      </c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249</v>
      </c>
      <c r="C15" s="43"/>
      <c r="D15" s="43">
        <v>0.0</v>
      </c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16"/>
      <c r="K16" s="43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80">
        <v>3000.0</v>
      </c>
      <c r="B17" s="52" t="s">
        <v>250</v>
      </c>
      <c r="C17" s="52"/>
      <c r="D17" s="52"/>
      <c r="E17" s="52"/>
      <c r="F17" s="52"/>
      <c r="G17" s="52"/>
      <c r="H17" s="52"/>
      <c r="I17" s="52"/>
      <c r="J17" s="73"/>
      <c r="K17" s="52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43" t="s">
        <v>251</v>
      </c>
      <c r="D18" s="43">
        <f>D12</f>
        <v>84</v>
      </c>
      <c r="E18" s="43" t="s">
        <v>155</v>
      </c>
      <c r="F18" s="43">
        <f t="shared" ref="F18:F20" si="1">D13</f>
        <v>40</v>
      </c>
      <c r="G18" s="43" t="s">
        <v>155</v>
      </c>
      <c r="H18" s="16">
        <v>11.0</v>
      </c>
      <c r="I18" s="84" t="s">
        <v>119</v>
      </c>
      <c r="J18" s="16">
        <f>D12*D13*H18</f>
        <v>36960</v>
      </c>
      <c r="L18" s="16">
        <v>36960.0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101</v>
      </c>
      <c r="D19" s="43">
        <f>D12</f>
        <v>84</v>
      </c>
      <c r="E19" s="43" t="s">
        <v>155</v>
      </c>
      <c r="F19" s="43">
        <f t="shared" si="1"/>
        <v>25</v>
      </c>
      <c r="G19" s="43" t="s">
        <v>155</v>
      </c>
      <c r="H19" s="59">
        <v>40.0</v>
      </c>
      <c r="I19" s="84" t="s">
        <v>119</v>
      </c>
      <c r="J19" s="16">
        <f>D19*D14*H19</f>
        <v>84000</v>
      </c>
      <c r="L19" s="16">
        <v>100800.0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252</v>
      </c>
      <c r="D20" s="43">
        <f>D12</f>
        <v>84</v>
      </c>
      <c r="E20" s="43" t="s">
        <v>155</v>
      </c>
      <c r="F20" s="43">
        <f t="shared" si="1"/>
        <v>0</v>
      </c>
      <c r="G20" s="43" t="s">
        <v>155</v>
      </c>
      <c r="H20" s="16">
        <v>6.0</v>
      </c>
      <c r="I20" s="84" t="s">
        <v>119</v>
      </c>
      <c r="J20" s="16">
        <f>D20*F20*H20</f>
        <v>0</v>
      </c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253</v>
      </c>
      <c r="D21" s="43"/>
      <c r="F21" s="43">
        <v>250.0</v>
      </c>
      <c r="G21" s="43" t="s">
        <v>155</v>
      </c>
      <c r="H21" s="16">
        <v>15.0</v>
      </c>
      <c r="I21" s="84" t="s">
        <v>119</v>
      </c>
      <c r="J21" s="16">
        <f t="shared" ref="J21:J22" si="2">F21*H21</f>
        <v>3750</v>
      </c>
      <c r="L21" s="16">
        <v>3750.0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254</v>
      </c>
      <c r="D22" s="43"/>
      <c r="E22" s="43"/>
      <c r="F22" s="43">
        <v>0.0</v>
      </c>
      <c r="G22" s="43" t="s">
        <v>155</v>
      </c>
      <c r="H22" s="16">
        <v>15.0</v>
      </c>
      <c r="I22" s="84" t="s">
        <v>119</v>
      </c>
      <c r="J22" s="16">
        <f t="shared" si="2"/>
        <v>0</v>
      </c>
      <c r="L22" s="16">
        <v>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81" t="s">
        <v>147</v>
      </c>
      <c r="C23" s="81"/>
      <c r="D23" s="81"/>
      <c r="E23" s="81"/>
      <c r="F23" s="81"/>
      <c r="G23" s="81"/>
      <c r="H23" s="81"/>
      <c r="I23" s="81"/>
      <c r="J23" s="82">
        <f>SUM(J18:J22)</f>
        <v>124710</v>
      </c>
      <c r="K23" s="31"/>
      <c r="L23" s="82">
        <f>SUM(L18:L22)</f>
        <v>141510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16"/>
      <c r="K24" s="43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7"/>
      <c r="B25" s="47" t="s">
        <v>3</v>
      </c>
      <c r="C25" s="47"/>
      <c r="D25" s="47"/>
      <c r="E25" s="47"/>
      <c r="F25" s="47"/>
      <c r="G25" s="47"/>
      <c r="H25" s="47"/>
      <c r="I25" s="47"/>
      <c r="J25" s="57">
        <f>SUM(J11:J24)/2</f>
        <v>124710</v>
      </c>
      <c r="K25" s="47"/>
      <c r="L25" s="57">
        <f>SUM(L11:L24)/2</f>
        <v>141510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49"/>
      <c r="Z25" s="49"/>
    </row>
    <row r="26" ht="15.75" customHeight="1">
      <c r="A26" s="43"/>
      <c r="B26" s="52"/>
      <c r="C26" s="43"/>
      <c r="D26" s="43"/>
      <c r="E26" s="43"/>
      <c r="F26" s="43"/>
      <c r="G26" s="43"/>
      <c r="H26" s="43"/>
      <c r="I26" s="43"/>
      <c r="J26" s="73"/>
      <c r="K26" s="43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80">
        <v>4101.0</v>
      </c>
      <c r="B27" s="52" t="s">
        <v>255</v>
      </c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251</v>
      </c>
      <c r="D28" s="43">
        <f>D12</f>
        <v>84</v>
      </c>
      <c r="E28" s="43" t="s">
        <v>155</v>
      </c>
      <c r="F28" s="43">
        <f t="shared" ref="F28:F29" si="3">D13</f>
        <v>40</v>
      </c>
      <c r="G28" s="43" t="s">
        <v>155</v>
      </c>
      <c r="H28" s="16">
        <v>9.0</v>
      </c>
      <c r="I28" s="84" t="s">
        <v>119</v>
      </c>
      <c r="J28" s="16">
        <f t="shared" ref="J28:J29" si="4">D28*F28*H28</f>
        <v>30240</v>
      </c>
      <c r="L28" s="16">
        <v>30240.0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101</v>
      </c>
      <c r="D29" s="43">
        <f>D12</f>
        <v>84</v>
      </c>
      <c r="E29" s="43" t="s">
        <v>155</v>
      </c>
      <c r="F29" s="43">
        <f t="shared" si="3"/>
        <v>25</v>
      </c>
      <c r="G29" s="43" t="s">
        <v>155</v>
      </c>
      <c r="H29" s="16">
        <f>30</f>
        <v>30</v>
      </c>
      <c r="I29" s="84" t="s">
        <v>119</v>
      </c>
      <c r="J29" s="16">
        <f t="shared" si="4"/>
        <v>63000</v>
      </c>
      <c r="L29" s="16">
        <v>60480.0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253</v>
      </c>
      <c r="D30" s="43"/>
      <c r="F30" s="43">
        <f>F21</f>
        <v>250</v>
      </c>
      <c r="G30" s="43" t="s">
        <v>155</v>
      </c>
      <c r="H30" s="16">
        <f>H21*0.4</f>
        <v>6</v>
      </c>
      <c r="I30" s="84" t="s">
        <v>119</v>
      </c>
      <c r="J30" s="16">
        <f>F30*H30</f>
        <v>1500</v>
      </c>
      <c r="L30" s="16">
        <v>1500.0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252</v>
      </c>
      <c r="D31" s="43">
        <f>D12</f>
        <v>84</v>
      </c>
      <c r="E31" s="43" t="s">
        <v>155</v>
      </c>
      <c r="F31" s="43">
        <f>D15</f>
        <v>0</v>
      </c>
      <c r="G31" s="43" t="s">
        <v>155</v>
      </c>
      <c r="H31" s="16">
        <v>4.8</v>
      </c>
      <c r="I31" s="84" t="s">
        <v>119</v>
      </c>
      <c r="J31" s="16">
        <f>D31*F31*H31</f>
        <v>0</v>
      </c>
      <c r="L31" s="16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182</v>
      </c>
      <c r="D32" s="43"/>
      <c r="E32" s="43"/>
      <c r="F32" s="84" t="s">
        <v>256</v>
      </c>
      <c r="I32" s="43"/>
      <c r="J32" s="16">
        <v>4000.0</v>
      </c>
      <c r="L32" s="16">
        <v>4000.0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81" t="s">
        <v>147</v>
      </c>
      <c r="C33" s="81"/>
      <c r="D33" s="81"/>
      <c r="E33" s="81"/>
      <c r="F33" s="81"/>
      <c r="G33" s="81"/>
      <c r="H33" s="81"/>
      <c r="I33" s="81"/>
      <c r="J33" s="82">
        <f>SUM(J28:J32)</f>
        <v>98740</v>
      </c>
      <c r="K33" s="31"/>
      <c r="L33" s="82">
        <f>SUM(L28:L32)</f>
        <v>96220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16"/>
      <c r="K34" s="43"/>
      <c r="L34" s="16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7"/>
      <c r="B35" s="47" t="s">
        <v>4</v>
      </c>
      <c r="C35" s="47"/>
      <c r="D35" s="47"/>
      <c r="E35" s="47"/>
      <c r="F35" s="47"/>
      <c r="G35" s="47"/>
      <c r="H35" s="47"/>
      <c r="I35" s="47"/>
      <c r="J35" s="57">
        <f>SUM(J26:J34)/2</f>
        <v>98740</v>
      </c>
      <c r="K35" s="47"/>
      <c r="L35" s="57">
        <f>SUM(L26:L34)/2</f>
        <v>96220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16"/>
      <c r="K36" s="43"/>
      <c r="L36" s="16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7"/>
      <c r="B37" s="47" t="s">
        <v>5</v>
      </c>
      <c r="C37" s="47"/>
      <c r="D37" s="47"/>
      <c r="E37" s="47"/>
      <c r="F37" s="47"/>
      <c r="G37" s="47"/>
      <c r="H37" s="47"/>
      <c r="I37" s="47"/>
      <c r="J37" s="57">
        <f>J25-J35</f>
        <v>25970</v>
      </c>
      <c r="K37" s="47"/>
      <c r="L37" s="57">
        <f>L25-L35</f>
        <v>45290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8:J22 J28:J32">
    <cfRule type="cellIs" dxfId="0" priority="1" operator="greaterThan">
      <formula>L18</formula>
    </cfRule>
  </conditionalFormatting>
  <conditionalFormatting sqref="J18:J22 J28:J32">
    <cfRule type="cellIs" dxfId="1" priority="2" operator="lessThan">
      <formula>L18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>
      <c r="A1" s="40" t="s">
        <v>19</v>
      </c>
      <c r="B1" s="40" t="s">
        <v>257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258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15000</v>
      </c>
      <c r="K6" s="42"/>
      <c r="L6" s="37">
        <f>L16</f>
        <v>15000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J22</f>
        <v>13500</v>
      </c>
      <c r="K7" s="42"/>
      <c r="L7" s="37">
        <f>L22</f>
        <v>13500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1500</v>
      </c>
      <c r="K8" s="42"/>
      <c r="L8" s="37">
        <f>L6-L7</f>
        <v>1500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3015.0</v>
      </c>
      <c r="B12" s="52" t="s">
        <v>175</v>
      </c>
      <c r="C12" s="52"/>
      <c r="D12" s="52"/>
      <c r="E12" s="52"/>
      <c r="F12" s="52"/>
      <c r="G12" s="52"/>
      <c r="H12" s="52"/>
      <c r="I12" s="52"/>
      <c r="J12" s="73"/>
      <c r="K12" s="52"/>
      <c r="L12" s="7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175</v>
      </c>
      <c r="F13" s="43">
        <v>300.0</v>
      </c>
      <c r="G13" s="43" t="s">
        <v>155</v>
      </c>
      <c r="H13" s="16">
        <v>50.0</v>
      </c>
      <c r="I13" s="84" t="s">
        <v>119</v>
      </c>
      <c r="J13" s="16">
        <f>F13*H13</f>
        <v>15000</v>
      </c>
      <c r="L13" s="16">
        <v>15000.0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81"/>
      <c r="D14" s="81"/>
      <c r="E14" s="81"/>
      <c r="F14" s="81"/>
      <c r="G14" s="81"/>
      <c r="H14" s="81"/>
      <c r="I14" s="81"/>
      <c r="J14" s="82">
        <f>SUM(J13)</f>
        <v>15000</v>
      </c>
      <c r="K14" s="31"/>
      <c r="L14" s="82">
        <f>SUM(L13)</f>
        <v>15000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15000</v>
      </c>
      <c r="K16" s="47"/>
      <c r="L16" s="57">
        <f>SUM(L11:L15)/2</f>
        <v>15000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4310.0</v>
      </c>
      <c r="B18" s="52" t="s">
        <v>177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259</v>
      </c>
      <c r="F19" s="43">
        <v>300.0</v>
      </c>
      <c r="G19" s="43" t="s">
        <v>155</v>
      </c>
      <c r="H19" s="16">
        <v>45.0</v>
      </c>
      <c r="I19" s="84" t="s">
        <v>119</v>
      </c>
      <c r="J19" s="16">
        <f>F19*H19</f>
        <v>13500</v>
      </c>
      <c r="L19" s="59">
        <v>13500.0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SUM(J19)</f>
        <v>13500</v>
      </c>
      <c r="K20" s="31"/>
      <c r="L20" s="82">
        <f>SUM(L19)</f>
        <v>13500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7"/>
      <c r="B22" s="47" t="s">
        <v>4</v>
      </c>
      <c r="C22" s="47"/>
      <c r="D22" s="47"/>
      <c r="E22" s="47"/>
      <c r="F22" s="47"/>
      <c r="G22" s="47"/>
      <c r="H22" s="47"/>
      <c r="I22" s="47"/>
      <c r="J22" s="57">
        <f>SUM(J17:J21)/2</f>
        <v>13500</v>
      </c>
      <c r="K22" s="47"/>
      <c r="L22" s="93">
        <f>SUM(L17:L21)/2</f>
        <v>13500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49"/>
      <c r="Z22" s="49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7"/>
      <c r="B24" s="47" t="s">
        <v>5</v>
      </c>
      <c r="C24" s="47"/>
      <c r="D24" s="47"/>
      <c r="E24" s="47"/>
      <c r="F24" s="47"/>
      <c r="G24" s="47"/>
      <c r="H24" s="47"/>
      <c r="I24" s="47"/>
      <c r="J24" s="57">
        <f>J16-J22</f>
        <v>1500</v>
      </c>
      <c r="K24" s="47"/>
      <c r="L24" s="57">
        <f>L16-L22</f>
        <v>1500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">
    <cfRule type="cellIs" dxfId="0" priority="1" operator="greaterThan">
      <formula>L13</formula>
    </cfRule>
  </conditionalFormatting>
  <conditionalFormatting sqref="J13 J19">
    <cfRule type="cellIs" dxfId="1" priority="2" operator="lessThan">
      <formula>L13</formula>
    </cfRule>
  </conditionalFormatting>
  <conditionalFormatting sqref="J8 L8">
    <cfRule type="cellIs" dxfId="1" priority="3" operator="lessThan">
      <formula>0</formula>
    </cfRule>
  </conditionalFormatting>
  <conditionalFormatting sqref="J8 L8">
    <cfRule type="cellIs" dxfId="0" priority="4" operator="greaterThan">
      <formula>0</formula>
    </cfRule>
  </conditionalFormatting>
  <conditionalFormatting sqref="J8 L8">
    <cfRule type="cellIs" dxfId="2" priority="5" operator="equal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>
      <c r="A1" s="40" t="s">
        <v>22</v>
      </c>
      <c r="B1" s="40" t="s">
        <v>21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258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J44</f>
        <v>16755</v>
      </c>
      <c r="K7" s="42"/>
      <c r="L7" s="37">
        <f>L44</f>
        <v>30658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-16755</v>
      </c>
      <c r="K8" s="42"/>
      <c r="L8" s="37">
        <f>L6-L7</f>
        <v>-30658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62" t="s">
        <v>256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f>SUM(J11)/2</f>
        <v>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7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4000.0</v>
      </c>
      <c r="B14" s="52" t="s">
        <v>176</v>
      </c>
      <c r="C14" s="52"/>
      <c r="D14" s="52"/>
      <c r="E14" s="52"/>
      <c r="F14" s="52"/>
      <c r="G14" s="52"/>
      <c r="H14" s="52"/>
      <c r="I14" s="52"/>
      <c r="J14" s="73"/>
      <c r="K14" s="52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260</v>
      </c>
      <c r="C15" s="52"/>
      <c r="D15" s="52"/>
      <c r="E15" s="52"/>
      <c r="F15" s="52"/>
      <c r="G15" s="52"/>
      <c r="H15" s="52"/>
      <c r="I15" s="52"/>
      <c r="J15" s="59">
        <v>1000.0</v>
      </c>
      <c r="K15" s="52"/>
      <c r="L15" s="94">
        <v>7500.0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1000</v>
      </c>
      <c r="K16" s="31"/>
      <c r="L16" s="82">
        <f>SUM(L15)</f>
        <v>7500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52"/>
      <c r="D17" s="52"/>
      <c r="E17" s="52"/>
      <c r="F17" s="52"/>
      <c r="G17" s="52"/>
      <c r="H17" s="52"/>
      <c r="I17" s="52"/>
      <c r="J17" s="73"/>
      <c r="K17" s="52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4002.0</v>
      </c>
      <c r="B18" s="52" t="s">
        <v>145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261</v>
      </c>
      <c r="F19" s="43"/>
      <c r="G19" s="43"/>
      <c r="H19" s="16"/>
      <c r="I19" s="43"/>
      <c r="J19" s="16">
        <v>7250.0</v>
      </c>
      <c r="L19" s="16">
        <v>7250.0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SUM(J19)</f>
        <v>7250</v>
      </c>
      <c r="K20" s="31"/>
      <c r="L20" s="82">
        <f>SUM(L19)</f>
        <v>7250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5420.0</v>
      </c>
      <c r="B22" s="52" t="s">
        <v>262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263</v>
      </c>
      <c r="C23" s="43"/>
      <c r="D23" s="43"/>
      <c r="E23" s="43"/>
      <c r="F23" s="43"/>
      <c r="G23" s="43"/>
      <c r="H23" s="43"/>
      <c r="I23" s="43"/>
      <c r="J23" s="16">
        <v>1502.0</v>
      </c>
      <c r="K23" s="43"/>
      <c r="L23" s="16">
        <v>1502.0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264</v>
      </c>
      <c r="C24" s="43"/>
      <c r="D24" s="43"/>
      <c r="E24" s="43"/>
      <c r="F24" s="43"/>
      <c r="G24" s="43"/>
      <c r="H24" s="43"/>
      <c r="I24" s="43"/>
      <c r="J24" s="16">
        <v>1000.0</v>
      </c>
      <c r="K24" s="43"/>
      <c r="L24" s="16">
        <v>1000.0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265</v>
      </c>
      <c r="C25" s="43"/>
      <c r="D25" s="43"/>
      <c r="E25" s="43"/>
      <c r="F25" s="43"/>
      <c r="G25" s="43"/>
      <c r="H25" s="43"/>
      <c r="I25" s="43"/>
      <c r="J25" s="16">
        <v>0.0</v>
      </c>
      <c r="K25" s="43"/>
      <c r="L25" s="16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SUM(J23:J25)</f>
        <v>2502</v>
      </c>
      <c r="K26" s="31"/>
      <c r="L26" s="82">
        <f>SUM(L23:L25)</f>
        <v>2502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80">
        <v>5480.0</v>
      </c>
      <c r="B28" s="52" t="s">
        <v>148</v>
      </c>
      <c r="C28" s="43"/>
      <c r="D28" s="43"/>
      <c r="E28" s="43"/>
      <c r="F28" s="43"/>
      <c r="G28" s="43"/>
      <c r="H28" s="43"/>
      <c r="I28" s="43"/>
      <c r="J28" s="16"/>
      <c r="K28" s="43"/>
      <c r="L28" s="16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266</v>
      </c>
      <c r="C29" s="43"/>
      <c r="D29" s="43"/>
      <c r="E29" s="43"/>
      <c r="F29" s="43"/>
      <c r="G29" s="43"/>
      <c r="H29" s="43"/>
      <c r="I29" s="43"/>
      <c r="J29" s="59">
        <v>0.0</v>
      </c>
      <c r="K29" s="43"/>
      <c r="L29" s="16">
        <v>350.0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267</v>
      </c>
      <c r="C30" s="43"/>
      <c r="D30" s="43"/>
      <c r="E30" s="43"/>
      <c r="F30" s="43"/>
      <c r="G30" s="43"/>
      <c r="H30" s="43"/>
      <c r="I30" s="43"/>
      <c r="J30" s="59">
        <v>0.0</v>
      </c>
      <c r="K30" s="43"/>
      <c r="L30" s="16">
        <v>350.0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268</v>
      </c>
      <c r="C31" s="43"/>
      <c r="D31" s="43"/>
      <c r="E31" s="43"/>
      <c r="F31" s="43"/>
      <c r="G31" s="43"/>
      <c r="H31" s="43"/>
      <c r="I31" s="43"/>
      <c r="J31" s="59">
        <v>0.0</v>
      </c>
      <c r="K31" s="43"/>
      <c r="L31" s="16">
        <v>350.0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269</v>
      </c>
      <c r="C32" s="43"/>
      <c r="D32" s="43"/>
      <c r="E32" s="43"/>
      <c r="F32" s="43"/>
      <c r="G32" s="43"/>
      <c r="H32" s="43"/>
      <c r="I32" s="43"/>
      <c r="J32" s="59">
        <v>0.0</v>
      </c>
      <c r="K32" s="43"/>
      <c r="L32" s="16">
        <v>350.0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81" t="s">
        <v>147</v>
      </c>
      <c r="C33" s="81"/>
      <c r="D33" s="81"/>
      <c r="E33" s="81"/>
      <c r="F33" s="81"/>
      <c r="G33" s="81"/>
      <c r="H33" s="81"/>
      <c r="I33" s="81"/>
      <c r="J33" s="82">
        <f>SUM(J29:J32)</f>
        <v>0</v>
      </c>
      <c r="K33" s="31"/>
      <c r="L33" s="82">
        <f>SUM(L29:L32)</f>
        <v>1400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16"/>
      <c r="K34" s="43"/>
      <c r="L34" s="16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80">
        <v>7600.0</v>
      </c>
      <c r="B35" s="52" t="s">
        <v>157</v>
      </c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270</v>
      </c>
      <c r="C36" s="43"/>
      <c r="D36" s="43"/>
      <c r="E36" s="43"/>
      <c r="F36" s="43"/>
      <c r="G36" s="43"/>
      <c r="H36" s="43"/>
      <c r="I36" s="43"/>
      <c r="J36" s="16">
        <f>Parametrar!$I$8</f>
        <v>207</v>
      </c>
      <c r="K36" s="43"/>
      <c r="L36" s="16">
        <v>414.0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 t="s">
        <v>271</v>
      </c>
      <c r="C37" s="43"/>
      <c r="D37" s="43"/>
      <c r="E37" s="43"/>
      <c r="F37" s="43"/>
      <c r="G37" s="43"/>
      <c r="H37" s="43"/>
      <c r="I37" s="43"/>
      <c r="J37" s="16">
        <f>Parametrar!$I$8</f>
        <v>207</v>
      </c>
      <c r="K37" s="43"/>
      <c r="L37" s="16">
        <v>414.0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 t="s">
        <v>272</v>
      </c>
      <c r="C38" s="43"/>
      <c r="D38" s="43"/>
      <c r="E38" s="43"/>
      <c r="F38" s="43"/>
      <c r="G38" s="43"/>
      <c r="H38" s="43"/>
      <c r="I38" s="43"/>
      <c r="J38" s="16">
        <f>Parametrar!$I$8</f>
        <v>207</v>
      </c>
      <c r="K38" s="43"/>
      <c r="L38" s="16">
        <v>414.0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273</v>
      </c>
      <c r="C39" s="43"/>
      <c r="D39" s="43"/>
      <c r="E39" s="43"/>
      <c r="F39" s="43"/>
      <c r="G39" s="43"/>
      <c r="H39" s="43"/>
      <c r="I39" s="43"/>
      <c r="J39" s="16">
        <f>Parametrar!$I$8</f>
        <v>207</v>
      </c>
      <c r="K39" s="43"/>
      <c r="L39" s="16">
        <v>414.0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274</v>
      </c>
      <c r="C40" s="43"/>
      <c r="D40" s="43"/>
      <c r="E40" s="43"/>
      <c r="F40" s="43">
        <v>10.0</v>
      </c>
      <c r="G40" s="43" t="s">
        <v>118</v>
      </c>
      <c r="H40" s="16">
        <f>Parametrar!$I$8</f>
        <v>207</v>
      </c>
      <c r="I40" s="84" t="s">
        <v>119</v>
      </c>
      <c r="J40" s="16">
        <f t="shared" ref="J40:J41" si="1">F40*H40</f>
        <v>2070</v>
      </c>
      <c r="K40" s="43"/>
      <c r="L40" s="16">
        <v>4140.0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168</v>
      </c>
      <c r="C41" s="43"/>
      <c r="D41" s="43"/>
      <c r="E41" s="43"/>
      <c r="F41" s="43">
        <v>15.0</v>
      </c>
      <c r="G41" s="43" t="s">
        <v>118</v>
      </c>
      <c r="H41" s="16">
        <f>Parametrar!$I$8</f>
        <v>207</v>
      </c>
      <c r="I41" s="84" t="s">
        <v>119</v>
      </c>
      <c r="J41" s="16">
        <f t="shared" si="1"/>
        <v>3105</v>
      </c>
      <c r="K41" s="43"/>
      <c r="L41" s="16">
        <v>6210.0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81" t="s">
        <v>147</v>
      </c>
      <c r="C42" s="81"/>
      <c r="D42" s="81"/>
      <c r="E42" s="81"/>
      <c r="F42" s="81"/>
      <c r="G42" s="81"/>
      <c r="H42" s="81"/>
      <c r="I42" s="81"/>
      <c r="J42" s="82">
        <f>SUM(J36:J41)</f>
        <v>6003</v>
      </c>
      <c r="K42" s="31"/>
      <c r="L42" s="82">
        <f>SUM(L36:L41)</f>
        <v>12006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16"/>
      <c r="K43" s="43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7"/>
      <c r="B44" s="47" t="s">
        <v>4</v>
      </c>
      <c r="C44" s="47"/>
      <c r="D44" s="47"/>
      <c r="E44" s="47"/>
      <c r="F44" s="47"/>
      <c r="G44" s="47"/>
      <c r="H44" s="47"/>
      <c r="I44" s="47"/>
      <c r="J44" s="57">
        <f>SUM(J13:J43)/2</f>
        <v>16755</v>
      </c>
      <c r="K44" s="47"/>
      <c r="L44" s="57">
        <f>SUM(L13:L43)/2</f>
        <v>30658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16"/>
      <c r="K45" s="43"/>
      <c r="L45" s="16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7"/>
      <c r="B46" s="47" t="s">
        <v>5</v>
      </c>
      <c r="C46" s="47"/>
      <c r="D46" s="47"/>
      <c r="E46" s="47"/>
      <c r="F46" s="47"/>
      <c r="G46" s="47"/>
      <c r="H46" s="47"/>
      <c r="I46" s="47"/>
      <c r="J46" s="57">
        <f>J12-J44</f>
        <v>-16755</v>
      </c>
      <c r="K46" s="47"/>
      <c r="L46" s="57">
        <f>L12-L44</f>
        <v>-30658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2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2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2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2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2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4">
    <mergeCell ref="A2:C2"/>
    <mergeCell ref="A6:B6"/>
    <mergeCell ref="A7:B7"/>
    <mergeCell ref="A8:B8"/>
  </mergeCells>
  <conditionalFormatting sqref="J19">
    <cfRule type="cellIs" dxfId="0" priority="1" operator="greaterThan">
      <formula>L19</formula>
    </cfRule>
  </conditionalFormatting>
  <conditionalFormatting sqref="J19">
    <cfRule type="cellIs" dxfId="1" priority="2" operator="lessThan">
      <formula>L19</formula>
    </cfRule>
  </conditionalFormatting>
  <conditionalFormatting sqref="J8 L8">
    <cfRule type="cellIs" dxfId="1" priority="3" operator="lessThan">
      <formula>0</formula>
    </cfRule>
  </conditionalFormatting>
  <conditionalFormatting sqref="J8 L8">
    <cfRule type="cellIs" dxfId="0" priority="4" operator="greaterThan">
      <formula>0</formula>
    </cfRule>
  </conditionalFormatting>
  <conditionalFormatting sqref="J8 L8">
    <cfRule type="cellIs" dxfId="2" priority="5" operator="equal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>
      <c r="A1" s="40" t="s">
        <v>25</v>
      </c>
      <c r="B1" s="40" t="s">
        <v>26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275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J34</f>
        <v>6884</v>
      </c>
      <c r="K7" s="42"/>
      <c r="L7" s="37">
        <f>L34</f>
        <v>14468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-6884</v>
      </c>
      <c r="K8" s="42"/>
      <c r="L8" s="37">
        <f>L6-L7</f>
        <v>-14468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276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277</v>
      </c>
      <c r="C16" s="43"/>
      <c r="D16" s="43">
        <v>2.0</v>
      </c>
      <c r="E16" s="43" t="s">
        <v>155</v>
      </c>
      <c r="F16" s="43">
        <v>12.0</v>
      </c>
      <c r="G16" s="43" t="s">
        <v>155</v>
      </c>
      <c r="H16" s="16">
        <f>Parametrar!I10</f>
        <v>0</v>
      </c>
      <c r="I16" s="84" t="s">
        <v>119</v>
      </c>
      <c r="J16" s="16">
        <f>D16*F16*H16</f>
        <v>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81" t="s">
        <v>147</v>
      </c>
      <c r="C17" s="31"/>
      <c r="D17" s="31"/>
      <c r="E17" s="31"/>
      <c r="F17" s="31"/>
      <c r="G17" s="31"/>
      <c r="H17" s="31"/>
      <c r="I17" s="31"/>
      <c r="J17" s="82">
        <f>SUM(J15:J16)</f>
        <v>0</v>
      </c>
      <c r="K17" s="31"/>
      <c r="L17" s="82">
        <f>SUM(L15:L16)</f>
        <v>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52"/>
      <c r="C18" s="43"/>
      <c r="D18" s="43"/>
      <c r="E18" s="43"/>
      <c r="F18" s="43"/>
      <c r="G18" s="43"/>
      <c r="H18" s="43"/>
      <c r="I18" s="43"/>
      <c r="J18" s="73"/>
      <c r="K18" s="4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80">
        <v>4310.0</v>
      </c>
      <c r="B19" s="52" t="s">
        <v>177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278</v>
      </c>
      <c r="C20" s="43"/>
      <c r="D20" s="43"/>
      <c r="E20" s="43"/>
      <c r="F20" s="43"/>
      <c r="G20" s="43"/>
      <c r="H20" s="16"/>
      <c r="I20" s="54"/>
      <c r="J20" s="59">
        <v>4400.0</v>
      </c>
      <c r="K20" s="43"/>
      <c r="L20" s="16">
        <v>4400.0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279</v>
      </c>
      <c r="C21" s="43"/>
      <c r="D21" s="43"/>
      <c r="E21" s="43"/>
      <c r="F21" s="43"/>
      <c r="H21" s="16"/>
      <c r="I21" s="43"/>
      <c r="J21" s="59">
        <v>0.0</v>
      </c>
      <c r="K21" s="43"/>
      <c r="L21" s="16">
        <v>900.0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81" t="s">
        <v>147</v>
      </c>
      <c r="C22" s="31"/>
      <c r="D22" s="31"/>
      <c r="E22" s="31"/>
      <c r="F22" s="31"/>
      <c r="G22" s="31"/>
      <c r="H22" s="31"/>
      <c r="I22" s="31"/>
      <c r="J22" s="82">
        <f>SUM(J20:J21)</f>
        <v>4400</v>
      </c>
      <c r="K22" s="31"/>
      <c r="L22" s="82">
        <f>SUM(L20:L21)</f>
        <v>5300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52"/>
      <c r="C23" s="43"/>
      <c r="D23" s="43"/>
      <c r="E23" s="43"/>
      <c r="F23" s="43"/>
      <c r="G23" s="43"/>
      <c r="H23" s="43"/>
      <c r="I23" s="43"/>
      <c r="J23" s="73"/>
      <c r="K23" s="43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80">
        <v>5480.0</v>
      </c>
      <c r="B24" s="52" t="s">
        <v>148</v>
      </c>
      <c r="C24" s="52"/>
      <c r="D24" s="52"/>
      <c r="E24" s="52"/>
      <c r="F24" s="52"/>
      <c r="G24" s="52"/>
      <c r="H24" s="52"/>
      <c r="I24" s="52"/>
      <c r="J24" s="73"/>
      <c r="K24" s="52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280</v>
      </c>
      <c r="C25" s="43"/>
      <c r="D25" s="43"/>
      <c r="E25" s="43"/>
      <c r="F25" s="43"/>
      <c r="G25" s="43"/>
      <c r="H25" s="16"/>
      <c r="I25" s="43"/>
      <c r="J25" s="59">
        <v>0.0</v>
      </c>
      <c r="K25" s="43"/>
      <c r="L25" s="16">
        <v>350.0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281</v>
      </c>
      <c r="C26" s="43"/>
      <c r="D26" s="43"/>
      <c r="E26" s="43"/>
      <c r="F26" s="43"/>
      <c r="G26" s="43"/>
      <c r="H26" s="16"/>
      <c r="I26" s="43"/>
      <c r="J26" s="59">
        <v>0.0</v>
      </c>
      <c r="K26" s="43"/>
      <c r="L26" s="16">
        <v>3850.0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81" t="s">
        <v>147</v>
      </c>
      <c r="C27" s="81"/>
      <c r="D27" s="81"/>
      <c r="E27" s="81"/>
      <c r="F27" s="81"/>
      <c r="G27" s="81"/>
      <c r="H27" s="81"/>
      <c r="I27" s="81"/>
      <c r="J27" s="82">
        <f>SUM(J25:J26)</f>
        <v>0</v>
      </c>
      <c r="K27" s="81"/>
      <c r="L27" s="82">
        <f>SUM(L25:L26)</f>
        <v>4200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52"/>
      <c r="C28" s="43"/>
      <c r="D28" s="43"/>
      <c r="E28" s="43"/>
      <c r="F28" s="43"/>
      <c r="G28" s="43"/>
      <c r="H28" s="43"/>
      <c r="I28" s="43"/>
      <c r="J28" s="73"/>
      <c r="K28" s="43"/>
      <c r="L28" s="7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80">
        <v>7600.0</v>
      </c>
      <c r="B29" s="52" t="s">
        <v>157</v>
      </c>
      <c r="C29" s="43"/>
      <c r="D29" s="43"/>
      <c r="E29" s="43"/>
      <c r="F29" s="43"/>
      <c r="G29" s="43"/>
      <c r="H29" s="43"/>
      <c r="I29" s="43"/>
      <c r="J29" s="16"/>
      <c r="K29" s="43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 t="s">
        <v>282</v>
      </c>
      <c r="C30" s="43"/>
      <c r="D30" s="43"/>
      <c r="E30" s="43"/>
      <c r="F30" s="43"/>
      <c r="G30" s="43"/>
      <c r="H30" s="16"/>
      <c r="I30" s="43"/>
      <c r="J30" s="16">
        <f>Parametrar!$I$8</f>
        <v>207</v>
      </c>
      <c r="K30" s="43"/>
      <c r="L30" s="16">
        <v>414.0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43" t="s">
        <v>283</v>
      </c>
      <c r="C31" s="43"/>
      <c r="D31" s="43"/>
      <c r="E31" s="43"/>
      <c r="F31" s="43">
        <v>11.0</v>
      </c>
      <c r="G31" s="43" t="s">
        <v>155</v>
      </c>
      <c r="H31" s="16">
        <f>Parametrar!$I$8</f>
        <v>207</v>
      </c>
      <c r="I31" s="84" t="s">
        <v>119</v>
      </c>
      <c r="J31" s="16">
        <f>F31*H31</f>
        <v>2277</v>
      </c>
      <c r="K31" s="43"/>
      <c r="L31" s="16">
        <v>4554.0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81" t="s">
        <v>147</v>
      </c>
      <c r="C32" s="31"/>
      <c r="D32" s="31"/>
      <c r="E32" s="31"/>
      <c r="F32" s="31"/>
      <c r="G32" s="31"/>
      <c r="H32" s="31"/>
      <c r="I32" s="31"/>
      <c r="J32" s="82">
        <f>SUM(J30:J31)</f>
        <v>2484</v>
      </c>
      <c r="K32" s="31"/>
      <c r="L32" s="82">
        <f>SUM(L30:L31)</f>
        <v>4968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16"/>
      <c r="K33" s="43"/>
      <c r="L33" s="16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7"/>
      <c r="B34" s="47" t="s">
        <v>4</v>
      </c>
      <c r="C34" s="47"/>
      <c r="D34" s="47"/>
      <c r="E34" s="47"/>
      <c r="F34" s="47"/>
      <c r="G34" s="47"/>
      <c r="H34" s="47"/>
      <c r="I34" s="47"/>
      <c r="J34" s="57">
        <f>SUM(J13:J33)/2</f>
        <v>6884</v>
      </c>
      <c r="K34" s="47"/>
      <c r="L34" s="57">
        <f>SUM(L13:L33)/2</f>
        <v>14468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7"/>
      <c r="B36" s="47" t="s">
        <v>5</v>
      </c>
      <c r="C36" s="47"/>
      <c r="D36" s="47"/>
      <c r="E36" s="47"/>
      <c r="F36" s="47"/>
      <c r="G36" s="47"/>
      <c r="H36" s="47"/>
      <c r="I36" s="47"/>
      <c r="J36" s="57">
        <f>J12-J34</f>
        <v>-6884</v>
      </c>
      <c r="K36" s="47"/>
      <c r="L36" s="57">
        <f>L12-L34</f>
        <v>-14468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:J16 J20:J21 J25:J26 J31">
    <cfRule type="cellIs" dxfId="0" priority="1" operator="greaterThan">
      <formula>L15</formula>
    </cfRule>
  </conditionalFormatting>
  <conditionalFormatting sqref="J15:J16 J20:J21 J25:J26 J31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38"/>
  </cols>
  <sheetData>
    <row r="1" ht="15.75" customHeight="1">
      <c r="A1" s="40" t="s">
        <v>28</v>
      </c>
      <c r="B1" s="40" t="s">
        <v>26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284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f>L12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J48</f>
        <v>13203</v>
      </c>
      <c r="K7" s="42"/>
      <c r="L7" s="37">
        <f>L48</f>
        <v>19842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-13203</v>
      </c>
      <c r="K8" s="42"/>
      <c r="L8" s="37">
        <f>L6-L7</f>
        <v>-19842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285</v>
      </c>
      <c r="C16" s="43"/>
      <c r="D16" s="43"/>
      <c r="F16" s="43"/>
      <c r="H16" s="16"/>
      <c r="I16" s="43"/>
      <c r="J16" s="16">
        <v>6000.0</v>
      </c>
      <c r="K16" s="43"/>
      <c r="L16" s="16">
        <v>6000.0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81" t="s">
        <v>147</v>
      </c>
      <c r="C17" s="31"/>
      <c r="D17" s="31"/>
      <c r="E17" s="31"/>
      <c r="F17" s="31"/>
      <c r="G17" s="31"/>
      <c r="H17" s="31"/>
      <c r="I17" s="31"/>
      <c r="J17" s="82">
        <f>SUM(J15:J16)</f>
        <v>6000</v>
      </c>
      <c r="K17" s="31"/>
      <c r="L17" s="82">
        <f>SUM(L15:L16)</f>
        <v>6000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52"/>
      <c r="C18" s="43"/>
      <c r="D18" s="43"/>
      <c r="E18" s="43"/>
      <c r="F18" s="43"/>
      <c r="G18" s="43"/>
      <c r="H18" s="43"/>
      <c r="I18" s="43"/>
      <c r="J18" s="73"/>
      <c r="K18" s="4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80">
        <v>5420.0</v>
      </c>
      <c r="B19" s="52" t="s">
        <v>262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286</v>
      </c>
      <c r="C20" s="43"/>
      <c r="D20" s="43"/>
      <c r="E20" s="43"/>
      <c r="F20" s="43"/>
      <c r="G20" s="43"/>
      <c r="H20" s="16"/>
      <c r="I20" s="43"/>
      <c r="J20" s="16">
        <v>0.0</v>
      </c>
      <c r="K20" s="43"/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287</v>
      </c>
      <c r="C21" s="43"/>
      <c r="D21" s="43"/>
      <c r="E21" s="43"/>
      <c r="F21" s="43"/>
      <c r="G21" s="43"/>
      <c r="H21" s="16"/>
      <c r="I21" s="43"/>
      <c r="J21" s="16">
        <v>1200.0</v>
      </c>
      <c r="K21" s="43"/>
      <c r="L21" s="16">
        <v>1200.0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 t="s">
        <v>264</v>
      </c>
      <c r="C22" s="43"/>
      <c r="D22" s="43"/>
      <c r="E22" s="43"/>
      <c r="F22" s="43"/>
      <c r="G22" s="43"/>
      <c r="H22" s="16"/>
      <c r="I22" s="43"/>
      <c r="J22" s="16">
        <v>0.0</v>
      </c>
      <c r="K22" s="43"/>
      <c r="L22" s="16">
        <v>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43" t="s">
        <v>288</v>
      </c>
      <c r="C23" s="43"/>
      <c r="D23" s="43"/>
      <c r="E23" s="43"/>
      <c r="F23" s="43"/>
      <c r="G23" s="43"/>
      <c r="H23" s="16"/>
      <c r="I23" s="43"/>
      <c r="J23" s="16">
        <v>0.0</v>
      </c>
      <c r="K23" s="43"/>
      <c r="L23" s="16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289</v>
      </c>
      <c r="C24" s="43"/>
      <c r="D24" s="43"/>
      <c r="E24" s="43"/>
      <c r="F24" s="43">
        <v>0.0</v>
      </c>
      <c r="G24" s="43" t="s">
        <v>118</v>
      </c>
      <c r="H24" s="43">
        <v>119.0</v>
      </c>
      <c r="I24" s="43"/>
      <c r="J24" s="16">
        <f>F24*H24</f>
        <v>0</v>
      </c>
      <c r="K24" s="43"/>
      <c r="L24" s="16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SUM(J20:J24)</f>
        <v>1200</v>
      </c>
      <c r="K25" s="31"/>
      <c r="L25" s="82">
        <f>SUM(L20:L24)</f>
        <v>1200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52"/>
      <c r="C26" s="43"/>
      <c r="D26" s="43"/>
      <c r="E26" s="43"/>
      <c r="F26" s="43"/>
      <c r="G26" s="43"/>
      <c r="H26" s="43"/>
      <c r="I26" s="43"/>
      <c r="J26" s="73"/>
      <c r="K26" s="43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80">
        <v>5480.0</v>
      </c>
      <c r="B27" s="52" t="s">
        <v>148</v>
      </c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290</v>
      </c>
      <c r="C28" s="43"/>
      <c r="D28" s="43"/>
      <c r="E28" s="43"/>
      <c r="F28" s="43"/>
      <c r="G28" s="43"/>
      <c r="H28" s="16"/>
      <c r="I28" s="43"/>
      <c r="J28" s="59">
        <v>0.0</v>
      </c>
      <c r="K28" s="43"/>
      <c r="L28" s="16">
        <v>350.0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291</v>
      </c>
      <c r="C29" s="43"/>
      <c r="D29" s="43"/>
      <c r="E29" s="43"/>
      <c r="F29" s="43"/>
      <c r="H29" s="16"/>
      <c r="I29" s="43"/>
      <c r="J29" s="59">
        <v>0.0</v>
      </c>
      <c r="K29" s="43"/>
      <c r="L29" s="16">
        <v>350.0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 t="s">
        <v>292</v>
      </c>
      <c r="F30" s="43"/>
      <c r="G30" s="43"/>
      <c r="H30" s="16"/>
      <c r="I30" s="43"/>
      <c r="J30" s="59">
        <v>0.0</v>
      </c>
      <c r="L30" s="16">
        <v>350.0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81" t="s">
        <v>147</v>
      </c>
      <c r="C31" s="81"/>
      <c r="D31" s="81"/>
      <c r="E31" s="81"/>
      <c r="F31" s="81"/>
      <c r="G31" s="81"/>
      <c r="H31" s="81"/>
      <c r="I31" s="81"/>
      <c r="J31" s="82">
        <f>SUM(J28:J30)</f>
        <v>0</v>
      </c>
      <c r="K31" s="81"/>
      <c r="L31" s="82">
        <f>SUM(L28:L30)</f>
        <v>1050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52"/>
      <c r="C32" s="43"/>
      <c r="D32" s="43"/>
      <c r="E32" s="43"/>
      <c r="F32" s="43"/>
      <c r="G32" s="43"/>
      <c r="H32" s="43"/>
      <c r="I32" s="43"/>
      <c r="J32" s="73"/>
      <c r="K32" s="43"/>
      <c r="L32" s="7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80">
        <v>7600.0</v>
      </c>
      <c r="B33" s="52" t="s">
        <v>157</v>
      </c>
      <c r="C33" s="43"/>
      <c r="D33" s="43"/>
      <c r="E33" s="43"/>
      <c r="F33" s="43"/>
      <c r="G33" s="43"/>
      <c r="H33" s="43"/>
      <c r="I33" s="43"/>
      <c r="J33" s="16"/>
      <c r="K33" s="43"/>
      <c r="L33" s="16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293</v>
      </c>
      <c r="C34" s="43"/>
      <c r="D34" s="43"/>
      <c r="E34" s="43"/>
      <c r="F34" s="43"/>
      <c r="G34" s="43"/>
      <c r="H34" s="16"/>
      <c r="I34" s="43"/>
      <c r="J34" s="16">
        <f>Parametrar!$I$8</f>
        <v>207</v>
      </c>
      <c r="K34" s="43"/>
      <c r="L34" s="16">
        <v>414.0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 t="s">
        <v>294</v>
      </c>
      <c r="C35" s="43"/>
      <c r="D35" s="43"/>
      <c r="E35" s="43"/>
      <c r="F35" s="43"/>
      <c r="H35" s="16"/>
      <c r="I35" s="43"/>
      <c r="J35" s="16">
        <f>Parametrar!$I$8</f>
        <v>207</v>
      </c>
      <c r="K35" s="43"/>
      <c r="L35" s="16">
        <v>414.0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295</v>
      </c>
      <c r="C36" s="43"/>
      <c r="D36" s="43"/>
      <c r="E36" s="43"/>
      <c r="F36" s="43">
        <v>3.0</v>
      </c>
      <c r="G36" s="43" t="s">
        <v>155</v>
      </c>
      <c r="H36" s="16">
        <f>Parametrar!$I$8</f>
        <v>207</v>
      </c>
      <c r="I36" s="84" t="s">
        <v>119</v>
      </c>
      <c r="J36" s="16">
        <f t="shared" ref="J36:J41" si="1">F36*H36</f>
        <v>621</v>
      </c>
      <c r="K36" s="43"/>
      <c r="L36" s="16">
        <v>1242.0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 t="s">
        <v>296</v>
      </c>
      <c r="C37" s="43"/>
      <c r="D37" s="43"/>
      <c r="E37" s="43"/>
      <c r="F37" s="43">
        <v>3.0</v>
      </c>
      <c r="G37" s="43" t="s">
        <v>155</v>
      </c>
      <c r="H37" s="16">
        <f>Parametrar!$I$8</f>
        <v>207</v>
      </c>
      <c r="I37" s="84" t="s">
        <v>119</v>
      </c>
      <c r="J37" s="16">
        <f t="shared" si="1"/>
        <v>621</v>
      </c>
      <c r="K37" s="43"/>
      <c r="L37" s="16">
        <v>1242.0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 t="s">
        <v>297</v>
      </c>
      <c r="C38" s="43"/>
      <c r="D38" s="43"/>
      <c r="E38" s="43"/>
      <c r="F38" s="43">
        <v>3.0</v>
      </c>
      <c r="G38" s="43" t="s">
        <v>155</v>
      </c>
      <c r="H38" s="16">
        <f>Parametrar!$I$8</f>
        <v>207</v>
      </c>
      <c r="I38" s="84" t="s">
        <v>119</v>
      </c>
      <c r="J38" s="16">
        <f t="shared" si="1"/>
        <v>621</v>
      </c>
      <c r="K38" s="43"/>
      <c r="L38" s="16">
        <v>1242.0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 t="s">
        <v>298</v>
      </c>
      <c r="C39" s="43"/>
      <c r="D39" s="43"/>
      <c r="E39" s="43"/>
      <c r="F39" s="43">
        <v>3.0</v>
      </c>
      <c r="G39" s="43" t="s">
        <v>155</v>
      </c>
      <c r="H39" s="16">
        <f>Parametrar!$I$8</f>
        <v>207</v>
      </c>
      <c r="I39" s="84" t="s">
        <v>119</v>
      </c>
      <c r="J39" s="16">
        <f t="shared" si="1"/>
        <v>621</v>
      </c>
      <c r="K39" s="43"/>
      <c r="L39" s="16">
        <v>1242.0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 t="s">
        <v>299</v>
      </c>
      <c r="C40" s="43"/>
      <c r="D40" s="43"/>
      <c r="E40" s="43"/>
      <c r="F40" s="43">
        <v>1.0</v>
      </c>
      <c r="G40" s="43" t="s">
        <v>118</v>
      </c>
      <c r="H40" s="16">
        <f>Parametrar!$I$8</f>
        <v>207</v>
      </c>
      <c r="I40" s="84" t="s">
        <v>119</v>
      </c>
      <c r="J40" s="95">
        <f t="shared" si="1"/>
        <v>207</v>
      </c>
      <c r="K40" s="43"/>
      <c r="L40" s="16">
        <v>414.0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 t="s">
        <v>300</v>
      </c>
      <c r="C41" s="43"/>
      <c r="D41" s="43"/>
      <c r="E41" s="43"/>
      <c r="F41" s="43">
        <v>1.0</v>
      </c>
      <c r="G41" s="43" t="s">
        <v>155</v>
      </c>
      <c r="H41" s="16">
        <f>Parametrar!$I$8</f>
        <v>207</v>
      </c>
      <c r="I41" s="84" t="s">
        <v>119</v>
      </c>
      <c r="J41" s="16">
        <f t="shared" si="1"/>
        <v>207</v>
      </c>
      <c r="K41" s="16"/>
      <c r="L41" s="16">
        <v>414.0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 t="s">
        <v>301</v>
      </c>
      <c r="C42" s="43"/>
      <c r="D42" s="43"/>
      <c r="E42" s="43"/>
      <c r="F42" s="43">
        <v>2.0</v>
      </c>
      <c r="G42" s="43" t="s">
        <v>155</v>
      </c>
      <c r="H42" s="16">
        <f>Parametrar!$I$8</f>
        <v>207</v>
      </c>
      <c r="I42" s="84" t="s">
        <v>119</v>
      </c>
      <c r="J42" s="16">
        <f>H42*F42</f>
        <v>414</v>
      </c>
      <c r="K42" s="16"/>
      <c r="L42" s="16">
        <v>828.0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 t="s">
        <v>302</v>
      </c>
      <c r="C43" s="43"/>
      <c r="D43" s="43"/>
      <c r="E43" s="43"/>
      <c r="F43" s="54">
        <v>1.0</v>
      </c>
      <c r="G43" s="43" t="s">
        <v>155</v>
      </c>
      <c r="H43" s="16">
        <f>Parametrar!$I$8</f>
        <v>207</v>
      </c>
      <c r="I43" s="84" t="s">
        <v>119</v>
      </c>
      <c r="J43" s="16">
        <f t="shared" ref="J43:J45" si="2">F43*H43</f>
        <v>207</v>
      </c>
      <c r="K43" s="16"/>
      <c r="L43" s="16">
        <v>0.0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 t="s">
        <v>303</v>
      </c>
      <c r="C44" s="43"/>
      <c r="D44" s="43"/>
      <c r="E44" s="43"/>
      <c r="F44" s="43">
        <v>3.0</v>
      </c>
      <c r="G44" s="43" t="s">
        <v>118</v>
      </c>
      <c r="H44" s="16">
        <f>Parametrar!$I$8</f>
        <v>207</v>
      </c>
      <c r="I44" s="43"/>
      <c r="J44" s="16">
        <f t="shared" si="2"/>
        <v>621</v>
      </c>
      <c r="K44" s="43"/>
      <c r="L44" s="16">
        <v>1242.0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 t="s">
        <v>168</v>
      </c>
      <c r="C45" s="43"/>
      <c r="D45" s="43"/>
      <c r="E45" s="43"/>
      <c r="F45" s="43">
        <v>7.0</v>
      </c>
      <c r="G45" s="43" t="s">
        <v>155</v>
      </c>
      <c r="H45" s="16">
        <f>Parametrar!$I$8</f>
        <v>207</v>
      </c>
      <c r="I45" s="84" t="s">
        <v>119</v>
      </c>
      <c r="J45" s="16">
        <f t="shared" si="2"/>
        <v>1449</v>
      </c>
      <c r="K45" s="43"/>
      <c r="L45" s="16">
        <v>2898.0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81" t="s">
        <v>147</v>
      </c>
      <c r="C46" s="31"/>
      <c r="D46" s="31"/>
      <c r="E46" s="31"/>
      <c r="F46" s="31"/>
      <c r="G46" s="31"/>
      <c r="H46" s="31"/>
      <c r="I46" s="31"/>
      <c r="J46" s="82">
        <f>SUM(J34:J45)</f>
        <v>6003</v>
      </c>
      <c r="K46" s="31"/>
      <c r="L46" s="82">
        <f>SUM(L34:L45)</f>
        <v>11592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16"/>
      <c r="K47" s="43"/>
      <c r="L47" s="16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7"/>
      <c r="B48" s="47" t="s">
        <v>4</v>
      </c>
      <c r="C48" s="47"/>
      <c r="D48" s="47"/>
      <c r="E48" s="47"/>
      <c r="F48" s="47"/>
      <c r="G48" s="47"/>
      <c r="H48" s="47"/>
      <c r="I48" s="47"/>
      <c r="J48" s="57">
        <f>SUM(J13:J47)/2</f>
        <v>13203</v>
      </c>
      <c r="K48" s="47"/>
      <c r="L48" s="57">
        <f>SUM(L13:L47)/2</f>
        <v>19842</v>
      </c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16"/>
      <c r="K49" s="43"/>
      <c r="L49" s="16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7"/>
      <c r="B50" s="47" t="s">
        <v>5</v>
      </c>
      <c r="C50" s="47"/>
      <c r="D50" s="47"/>
      <c r="E50" s="47"/>
      <c r="F50" s="47"/>
      <c r="G50" s="47"/>
      <c r="H50" s="47"/>
      <c r="I50" s="47"/>
      <c r="J50" s="57">
        <f>J12-J48</f>
        <v>-13203</v>
      </c>
      <c r="K50" s="47"/>
      <c r="L50" s="57">
        <f>L12-L48</f>
        <v>-19842</v>
      </c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2:C2"/>
    <mergeCell ref="A6:B6"/>
    <mergeCell ref="A7:B7"/>
    <mergeCell ref="A8:B8"/>
  </mergeCells>
  <conditionalFormatting sqref="J30">
    <cfRule type="cellIs" dxfId="1" priority="1" operator="lessThan">
      <formula>L30</formula>
    </cfRule>
  </conditionalFormatting>
  <conditionalFormatting sqref="J30">
    <cfRule type="cellIs" dxfId="0" priority="2" operator="greaterThan">
      <formula>L30</formula>
    </cfRule>
  </conditionalFormatting>
  <conditionalFormatting sqref="J30">
    <cfRule type="cellIs" dxfId="0" priority="3" operator="greaterThan">
      <formula>$L30</formula>
    </cfRule>
  </conditionalFormatting>
  <conditionalFormatting sqref="J41:J43">
    <cfRule type="cellIs" dxfId="0" priority="4" operator="greaterThan">
      <formula>$L41</formula>
    </cfRule>
  </conditionalFormatting>
  <conditionalFormatting sqref="J41:J43">
    <cfRule type="cellIs" dxfId="0" priority="5" operator="greaterThan">
      <formula>L41</formula>
    </cfRule>
  </conditionalFormatting>
  <conditionalFormatting sqref="J41:J43">
    <cfRule type="cellIs" dxfId="1" priority="6" operator="lessThan">
      <formula>L41</formula>
    </cfRule>
  </conditionalFormatting>
  <conditionalFormatting sqref="J15:J16 J20:J23 J28:J29 J36:J40 J44:J45">
    <cfRule type="cellIs" dxfId="0" priority="7" operator="greaterThan">
      <formula>L15</formula>
    </cfRule>
  </conditionalFormatting>
  <conditionalFormatting sqref="J15:J16 J20:J23 J28:J29 J36:J40 J44:J45">
    <cfRule type="cellIs" dxfId="1" priority="8" operator="lessThan">
      <formula>L15</formula>
    </cfRule>
  </conditionalFormatting>
  <conditionalFormatting sqref="J8 L8">
    <cfRule type="cellIs" dxfId="2" priority="9" operator="equal">
      <formula>0</formula>
    </cfRule>
  </conditionalFormatting>
  <conditionalFormatting sqref="J8 L8">
    <cfRule type="cellIs" dxfId="0" priority="10" operator="greaterThanOrEqual">
      <formula>0</formula>
    </cfRule>
  </conditionalFormatting>
  <conditionalFormatting sqref="J8 L8">
    <cfRule type="cellIs" dxfId="1" priority="11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4.5"/>
  </cols>
  <sheetData>
    <row r="1" ht="15.75" customHeight="1">
      <c r="A1" s="40" t="s">
        <v>29</v>
      </c>
      <c r="B1" s="40" t="s">
        <v>304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305</v>
      </c>
      <c r="D2" s="42"/>
      <c r="E2" s="42"/>
      <c r="F2" s="42"/>
      <c r="G2" s="42"/>
      <c r="H2" s="42"/>
      <c r="I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3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3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J19</f>
        <v>160650</v>
      </c>
      <c r="K6" s="43"/>
      <c r="L6" s="37">
        <f>L19</f>
        <v>160650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J32</f>
        <v>127500</v>
      </c>
      <c r="K7" s="43"/>
      <c r="L7" s="37">
        <f>L32</f>
        <v>127500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33150</v>
      </c>
      <c r="K8" s="43"/>
      <c r="L8" s="37">
        <f>L6-L7</f>
        <v>33150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306</v>
      </c>
      <c r="C13" s="43"/>
      <c r="D13" s="43"/>
      <c r="E13" s="43"/>
      <c r="F13" s="43"/>
      <c r="G13" s="43"/>
      <c r="H13" s="43"/>
      <c r="I13" s="43"/>
      <c r="J13" s="16">
        <v>37000.0</v>
      </c>
      <c r="K13" s="43"/>
      <c r="L13" s="16">
        <v>37000.0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 t="s">
        <v>307</v>
      </c>
      <c r="C14" s="43"/>
      <c r="D14" s="43"/>
      <c r="E14" s="43"/>
      <c r="F14" s="43">
        <v>190.0</v>
      </c>
      <c r="G14" s="43" t="s">
        <v>155</v>
      </c>
      <c r="H14" s="16">
        <v>435.0</v>
      </c>
      <c r="I14" s="84" t="s">
        <v>119</v>
      </c>
      <c r="J14" s="16">
        <f>F14*H14</f>
        <v>82650</v>
      </c>
      <c r="K14" s="43"/>
      <c r="L14" s="16">
        <v>82650.0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308</v>
      </c>
      <c r="C15" s="43"/>
      <c r="D15" s="43"/>
      <c r="E15" s="43"/>
      <c r="F15" s="43"/>
      <c r="G15" s="43"/>
      <c r="H15" s="43"/>
      <c r="I15" s="43"/>
      <c r="J15" s="16">
        <v>15000.0</v>
      </c>
      <c r="K15" s="43"/>
      <c r="L15" s="16">
        <v>15000.0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309</v>
      </c>
      <c r="J16" s="16">
        <v>26000.0</v>
      </c>
      <c r="L16" s="16">
        <v>26000.0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81" t="s">
        <v>147</v>
      </c>
      <c r="C17" s="81"/>
      <c r="D17" s="81"/>
      <c r="E17" s="81"/>
      <c r="F17" s="81"/>
      <c r="G17" s="81"/>
      <c r="H17" s="81"/>
      <c r="I17" s="81"/>
      <c r="J17" s="82">
        <f>SUM(J13:J16)</f>
        <v>160650</v>
      </c>
      <c r="K17" s="31"/>
      <c r="L17" s="82">
        <f>SUM(L13:L16)</f>
        <v>160650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7"/>
      <c r="B19" s="47" t="s">
        <v>3</v>
      </c>
      <c r="C19" s="47"/>
      <c r="D19" s="47"/>
      <c r="E19" s="47"/>
      <c r="F19" s="47"/>
      <c r="G19" s="47"/>
      <c r="H19" s="47"/>
      <c r="I19" s="47"/>
      <c r="J19" s="57">
        <f>SUM(J17)</f>
        <v>160650</v>
      </c>
      <c r="K19" s="47"/>
      <c r="L19" s="57">
        <f>SUM(L11:L18)/2</f>
        <v>160650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49"/>
      <c r="Z19" s="49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16"/>
      <c r="K20" s="43"/>
      <c r="L20" s="16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80">
        <v>4000.0</v>
      </c>
      <c r="B21" s="52" t="s">
        <v>176</v>
      </c>
      <c r="C21" s="43"/>
      <c r="D21" s="43"/>
      <c r="E21" s="43"/>
      <c r="F21" s="43"/>
      <c r="G21" s="43"/>
      <c r="H21" s="43"/>
      <c r="I21" s="43"/>
      <c r="J21" s="16"/>
      <c r="K21" s="52"/>
      <c r="L21" s="16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49"/>
      <c r="Z21" s="49"/>
    </row>
    <row r="22" ht="15.75" customHeight="1">
      <c r="A22" s="43"/>
      <c r="B22" s="43" t="s">
        <v>306</v>
      </c>
      <c r="C22" s="43"/>
      <c r="D22" s="43"/>
      <c r="E22" s="43"/>
      <c r="F22" s="43"/>
      <c r="G22" s="43"/>
      <c r="H22" s="43"/>
      <c r="I22" s="43"/>
      <c r="J22" s="16">
        <v>35000.0</v>
      </c>
      <c r="K22" s="43"/>
      <c r="L22" s="16">
        <v>35000.0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307</v>
      </c>
      <c r="C23" s="43"/>
      <c r="D23" s="43"/>
      <c r="E23" s="43"/>
      <c r="F23" s="54">
        <v>200.0</v>
      </c>
      <c r="G23" s="43" t="s">
        <v>155</v>
      </c>
      <c r="H23" s="16">
        <v>412.5</v>
      </c>
      <c r="I23" s="84" t="s">
        <v>119</v>
      </c>
      <c r="J23" s="16">
        <f>H23*F23</f>
        <v>82500</v>
      </c>
      <c r="K23" s="43"/>
      <c r="L23" s="16">
        <v>82500.0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308</v>
      </c>
      <c r="C24" s="52"/>
      <c r="D24" s="52"/>
      <c r="E24" s="52"/>
      <c r="F24" s="52"/>
      <c r="G24" s="52"/>
      <c r="H24" s="52"/>
      <c r="I24" s="52"/>
      <c r="J24" s="16">
        <v>10000.0</v>
      </c>
      <c r="K24" s="43"/>
      <c r="L24" s="16">
        <v>10000.0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309</v>
      </c>
      <c r="C25" s="52"/>
      <c r="D25" s="52"/>
      <c r="E25" s="52"/>
      <c r="F25" s="52"/>
      <c r="G25" s="52"/>
      <c r="H25" s="52"/>
      <c r="I25" s="52"/>
      <c r="J25" s="16">
        <v>0.0</v>
      </c>
      <c r="L25" s="16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SUM(J22:J25)</f>
        <v>127500</v>
      </c>
      <c r="K26" s="31"/>
      <c r="L26" s="82">
        <f>SUM(L22:L25)</f>
        <v>127500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9"/>
      <c r="K27" s="43"/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96">
        <v>5420.0</v>
      </c>
      <c r="B28" s="10" t="s">
        <v>262</v>
      </c>
      <c r="C28" s="2"/>
      <c r="D28" s="2"/>
      <c r="E28" s="2"/>
      <c r="F28" s="2"/>
      <c r="G28" s="2"/>
      <c r="H28" s="2"/>
      <c r="I28" s="2"/>
      <c r="J28" s="9"/>
      <c r="K28" s="43"/>
      <c r="L28" s="16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2"/>
      <c r="B29" s="97" t="s">
        <v>310</v>
      </c>
      <c r="C29" s="97"/>
      <c r="D29" s="97"/>
      <c r="E29" s="97"/>
      <c r="F29" s="97"/>
      <c r="G29" s="97"/>
      <c r="H29" s="97"/>
      <c r="I29" s="97"/>
      <c r="J29" s="16">
        <v>0.0</v>
      </c>
      <c r="K29" s="43"/>
      <c r="L29" s="98">
        <v>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2"/>
      <c r="B30" s="10" t="s">
        <v>147</v>
      </c>
      <c r="C30" s="2"/>
      <c r="D30" s="2"/>
      <c r="E30" s="2"/>
      <c r="F30" s="2"/>
      <c r="G30" s="2"/>
      <c r="H30" s="2"/>
      <c r="I30" s="2"/>
      <c r="J30" s="30">
        <f>SUM(J29)</f>
        <v>0</v>
      </c>
      <c r="K30" s="31"/>
      <c r="L30" s="37">
        <v>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16"/>
      <c r="K31" s="43"/>
      <c r="L31" s="1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7"/>
      <c r="B32" s="47" t="s">
        <v>4</v>
      </c>
      <c r="C32" s="47"/>
      <c r="D32" s="47"/>
      <c r="E32" s="47"/>
      <c r="F32" s="47"/>
      <c r="G32" s="47"/>
      <c r="H32" s="47"/>
      <c r="I32" s="47"/>
      <c r="J32" s="57">
        <f>SUM(J20:J31)/2</f>
        <v>127500</v>
      </c>
      <c r="K32" s="47"/>
      <c r="L32" s="57">
        <f>SUM(L20:L31)/2</f>
        <v>127500</v>
      </c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16"/>
      <c r="K33" s="43"/>
      <c r="L33" s="16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7"/>
      <c r="B34" s="47" t="s">
        <v>5</v>
      </c>
      <c r="C34" s="47"/>
      <c r="D34" s="47"/>
      <c r="E34" s="47"/>
      <c r="F34" s="47"/>
      <c r="G34" s="47"/>
      <c r="H34" s="47"/>
      <c r="I34" s="47"/>
      <c r="J34" s="57">
        <f>J19-J32</f>
        <v>33150</v>
      </c>
      <c r="K34" s="47"/>
      <c r="L34" s="57">
        <f>L19-L32</f>
        <v>33150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:J16 J22:J25 J29">
    <cfRule type="cellIs" dxfId="0" priority="1" operator="greaterThan">
      <formula>L13</formula>
    </cfRule>
  </conditionalFormatting>
  <conditionalFormatting sqref="J13:J16 J22:J25 J29">
    <cfRule type="cellIs" dxfId="1" priority="2" operator="lessThan">
      <formula>L13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 ht="20.25" customHeight="1">
      <c r="A1" s="40" t="s">
        <v>32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311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J39</f>
        <v>15633</v>
      </c>
      <c r="K7" s="42"/>
      <c r="L7" s="37">
        <f>L39</f>
        <v>20566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-15633</v>
      </c>
      <c r="K8" s="42"/>
      <c r="L8" s="37">
        <f>L6-L7</f>
        <v>-20566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312</v>
      </c>
      <c r="C15" s="43"/>
      <c r="D15" s="43"/>
      <c r="E15" s="43"/>
      <c r="F15" s="43"/>
      <c r="G15" s="43"/>
      <c r="H15" s="43"/>
      <c r="I15" s="43"/>
      <c r="J15" s="16">
        <v>4000.0</v>
      </c>
      <c r="K15" s="43"/>
      <c r="L15" s="16">
        <v>4000.0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313</v>
      </c>
      <c r="C16" s="43"/>
      <c r="D16" s="43"/>
      <c r="F16" s="43"/>
      <c r="H16" s="16"/>
      <c r="I16" s="43"/>
      <c r="J16" s="16">
        <v>7000.0</v>
      </c>
      <c r="K16" s="43"/>
      <c r="L16" s="16">
        <v>7000.0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81" t="s">
        <v>147</v>
      </c>
      <c r="C17" s="31"/>
      <c r="D17" s="31"/>
      <c r="E17" s="31"/>
      <c r="F17" s="31"/>
      <c r="G17" s="31"/>
      <c r="H17" s="31"/>
      <c r="I17" s="31"/>
      <c r="J17" s="82">
        <f>SUM(J15:J16)</f>
        <v>11000</v>
      </c>
      <c r="K17" s="31"/>
      <c r="L17" s="82">
        <f>SUM(L15:L16)</f>
        <v>11000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52"/>
      <c r="C18" s="43"/>
      <c r="D18" s="43"/>
      <c r="E18" s="43"/>
      <c r="F18" s="43"/>
      <c r="G18" s="43"/>
      <c r="H18" s="43"/>
      <c r="I18" s="43"/>
      <c r="J18" s="73"/>
      <c r="K18" s="4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80">
        <v>4310.0</v>
      </c>
      <c r="B19" s="52" t="s">
        <v>177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314</v>
      </c>
      <c r="C20" s="43"/>
      <c r="D20" s="43"/>
      <c r="E20" s="43"/>
      <c r="F20" s="43"/>
      <c r="G20" s="43"/>
      <c r="H20" s="43"/>
      <c r="I20" s="43"/>
      <c r="J20" s="59">
        <v>0.0</v>
      </c>
      <c r="K20" s="43"/>
      <c r="L20" s="16">
        <v>1000.0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81" t="s">
        <v>147</v>
      </c>
      <c r="C21" s="31"/>
      <c r="D21" s="31"/>
      <c r="E21" s="31"/>
      <c r="F21" s="31"/>
      <c r="G21" s="31"/>
      <c r="H21" s="31"/>
      <c r="I21" s="31"/>
      <c r="J21" s="82">
        <f>SUM(J20)</f>
        <v>0</v>
      </c>
      <c r="K21" s="31"/>
      <c r="L21" s="82">
        <f>SUM(L20)</f>
        <v>1000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52"/>
      <c r="C22" s="43"/>
      <c r="D22" s="43"/>
      <c r="E22" s="43"/>
      <c r="F22" s="43"/>
      <c r="G22" s="43"/>
      <c r="H22" s="43"/>
      <c r="I22" s="43"/>
      <c r="J22" s="73"/>
      <c r="K22" s="43"/>
      <c r="L22" s="73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80">
        <v>5480.0</v>
      </c>
      <c r="B23" s="52" t="s">
        <v>148</v>
      </c>
      <c r="C23" s="52"/>
      <c r="D23" s="52"/>
      <c r="E23" s="52"/>
      <c r="F23" s="52"/>
      <c r="G23" s="52"/>
      <c r="H23" s="52"/>
      <c r="I23" s="52"/>
      <c r="J23" s="73"/>
      <c r="K23" s="52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315</v>
      </c>
      <c r="C24" s="43"/>
      <c r="D24" s="43"/>
      <c r="E24" s="43"/>
      <c r="F24" s="43"/>
      <c r="G24" s="43"/>
      <c r="H24" s="16"/>
      <c r="I24" s="43"/>
      <c r="J24" s="16">
        <f>Parametrar!$I$9</f>
        <v>350</v>
      </c>
      <c r="K24" s="43"/>
      <c r="L24" s="16">
        <v>350.0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316</v>
      </c>
      <c r="C25" s="43"/>
      <c r="D25" s="43"/>
      <c r="E25" s="43"/>
      <c r="F25" s="43"/>
      <c r="H25" s="16"/>
      <c r="I25" s="43"/>
      <c r="J25" s="16">
        <f>Parametrar!$I$9</f>
        <v>350</v>
      </c>
      <c r="K25" s="43"/>
      <c r="L25" s="16">
        <v>350.0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268</v>
      </c>
      <c r="C26" s="43"/>
      <c r="D26" s="43"/>
      <c r="E26" s="43"/>
      <c r="F26" s="43"/>
      <c r="H26" s="16"/>
      <c r="I26" s="43"/>
      <c r="J26" s="59">
        <v>0.0</v>
      </c>
      <c r="K26" s="43"/>
      <c r="L26" s="16">
        <v>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317</v>
      </c>
      <c r="C27" s="43"/>
      <c r="D27" s="43"/>
      <c r="E27" s="43"/>
      <c r="F27" s="43"/>
      <c r="H27" s="16"/>
      <c r="I27" s="43"/>
      <c r="J27" s="59">
        <v>0.0</v>
      </c>
      <c r="K27" s="43"/>
      <c r="L27" s="16">
        <v>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81" t="s">
        <v>147</v>
      </c>
      <c r="C28" s="81"/>
      <c r="D28" s="81"/>
      <c r="E28" s="81"/>
      <c r="F28" s="81"/>
      <c r="G28" s="81"/>
      <c r="H28" s="81"/>
      <c r="I28" s="81"/>
      <c r="J28" s="82">
        <f>SUM(J24:J27)</f>
        <v>700</v>
      </c>
      <c r="K28" s="81"/>
      <c r="L28" s="82">
        <f>SUM(L24:L27)</f>
        <v>700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52"/>
      <c r="C29" s="43"/>
      <c r="D29" s="43"/>
      <c r="E29" s="43"/>
      <c r="F29" s="43"/>
      <c r="G29" s="43"/>
      <c r="H29" s="43"/>
      <c r="I29" s="43"/>
      <c r="J29" s="73"/>
      <c r="K29" s="4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80">
        <v>7600.0</v>
      </c>
      <c r="B30" s="52" t="s">
        <v>157</v>
      </c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318</v>
      </c>
      <c r="C31" s="43"/>
      <c r="D31" s="43"/>
      <c r="E31" s="43"/>
      <c r="F31" s="43"/>
      <c r="G31" s="43"/>
      <c r="H31" s="16"/>
      <c r="I31" s="43"/>
      <c r="J31" s="16">
        <f>Parametrar!$I$8</f>
        <v>207</v>
      </c>
      <c r="K31" s="43"/>
      <c r="L31" s="16">
        <v>414.0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319</v>
      </c>
      <c r="C32" s="43"/>
      <c r="D32" s="43"/>
      <c r="E32" s="43"/>
      <c r="F32" s="43"/>
      <c r="H32" s="16"/>
      <c r="I32" s="43"/>
      <c r="J32" s="16">
        <f>Parametrar!$I$8</f>
        <v>207</v>
      </c>
      <c r="K32" s="43"/>
      <c r="L32" s="16">
        <v>414.0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 t="s">
        <v>320</v>
      </c>
      <c r="C33" s="43"/>
      <c r="D33" s="43"/>
      <c r="E33" s="43"/>
      <c r="F33" s="43">
        <v>2.0</v>
      </c>
      <c r="G33" s="43" t="s">
        <v>155</v>
      </c>
      <c r="H33" s="16">
        <f>Parametrar!$I$8</f>
        <v>207</v>
      </c>
      <c r="I33" s="84" t="s">
        <v>119</v>
      </c>
      <c r="J33" s="16">
        <f t="shared" ref="J33:J36" si="1">F33*H33</f>
        <v>414</v>
      </c>
      <c r="K33" s="43"/>
      <c r="L33" s="16">
        <v>828.0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321</v>
      </c>
      <c r="C34" s="43"/>
      <c r="D34" s="43"/>
      <c r="E34" s="43"/>
      <c r="F34" s="43">
        <v>5.0</v>
      </c>
      <c r="G34" s="43" t="s">
        <v>155</v>
      </c>
      <c r="H34" s="16">
        <f>Parametrar!$I$8</f>
        <v>207</v>
      </c>
      <c r="I34" s="84" t="s">
        <v>119</v>
      </c>
      <c r="J34" s="16">
        <f t="shared" si="1"/>
        <v>1035</v>
      </c>
      <c r="K34" s="43"/>
      <c r="L34" s="16">
        <v>2070.0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322</v>
      </c>
      <c r="C35" s="43"/>
      <c r="D35" s="43"/>
      <c r="E35" s="43"/>
      <c r="F35" s="43">
        <v>2.0</v>
      </c>
      <c r="G35" s="43" t="s">
        <v>155</v>
      </c>
      <c r="H35" s="16">
        <f>Parametrar!$I$8</f>
        <v>207</v>
      </c>
      <c r="I35" s="84" t="s">
        <v>119</v>
      </c>
      <c r="J35" s="16">
        <f t="shared" si="1"/>
        <v>414</v>
      </c>
      <c r="K35" s="43"/>
      <c r="L35" s="16">
        <v>828.0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168</v>
      </c>
      <c r="C36" s="43"/>
      <c r="D36" s="43"/>
      <c r="E36" s="43"/>
      <c r="F36" s="43">
        <v>8.0</v>
      </c>
      <c r="G36" s="43" t="s">
        <v>155</v>
      </c>
      <c r="H36" s="16">
        <f>Parametrar!$I$8</f>
        <v>207</v>
      </c>
      <c r="I36" s="84" t="s">
        <v>119</v>
      </c>
      <c r="J36" s="16">
        <f t="shared" si="1"/>
        <v>1656</v>
      </c>
      <c r="K36" s="43"/>
      <c r="L36" s="16">
        <v>3312.0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81" t="s">
        <v>147</v>
      </c>
      <c r="C37" s="31"/>
      <c r="D37" s="31"/>
      <c r="E37" s="31"/>
      <c r="F37" s="31"/>
      <c r="G37" s="31"/>
      <c r="H37" s="31"/>
      <c r="I37" s="31"/>
      <c r="J37" s="82">
        <f>SUM(J31:J36)</f>
        <v>3933</v>
      </c>
      <c r="K37" s="31"/>
      <c r="L37" s="82">
        <f>SUM(L31:L36)</f>
        <v>7866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7"/>
      <c r="B39" s="47" t="s">
        <v>4</v>
      </c>
      <c r="C39" s="47"/>
      <c r="D39" s="47"/>
      <c r="E39" s="47"/>
      <c r="F39" s="47"/>
      <c r="G39" s="47"/>
      <c r="H39" s="47"/>
      <c r="I39" s="47"/>
      <c r="J39" s="57">
        <f>SUM(J13:J38)/2</f>
        <v>15633</v>
      </c>
      <c r="K39" s="47"/>
      <c r="L39" s="57">
        <f>SUM(L14:L38)/2</f>
        <v>20566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K40" s="43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7"/>
      <c r="B41" s="47" t="s">
        <v>5</v>
      </c>
      <c r="C41" s="47"/>
      <c r="D41" s="47"/>
      <c r="E41" s="47"/>
      <c r="F41" s="47"/>
      <c r="G41" s="47"/>
      <c r="H41" s="47"/>
      <c r="I41" s="47"/>
      <c r="J41" s="57">
        <f>J12-J39</f>
        <v>-15633</v>
      </c>
      <c r="K41" s="47"/>
      <c r="L41" s="57">
        <f>L12-L39</f>
        <v>-20566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9"/>
      <c r="D199" s="49"/>
      <c r="E199" s="49"/>
      <c r="F199" s="49"/>
      <c r="G199" s="49"/>
      <c r="H199" s="49"/>
      <c r="I199" s="49"/>
      <c r="J199" s="49"/>
      <c r="K199" s="49"/>
      <c r="L199" s="99"/>
      <c r="M199" s="49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9"/>
      <c r="D200" s="49"/>
      <c r="E200" s="49"/>
      <c r="F200" s="49"/>
      <c r="G200" s="49"/>
      <c r="H200" s="49"/>
      <c r="I200" s="49"/>
      <c r="J200" s="49"/>
      <c r="K200" s="49"/>
      <c r="L200" s="99"/>
      <c r="M200" s="49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9"/>
      <c r="D201" s="49"/>
      <c r="E201" s="49"/>
      <c r="F201" s="49"/>
      <c r="G201" s="49"/>
      <c r="H201" s="49"/>
      <c r="I201" s="49"/>
      <c r="J201" s="49"/>
      <c r="K201" s="49"/>
      <c r="L201" s="99"/>
      <c r="M201" s="49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9"/>
      <c r="D202" s="49"/>
      <c r="E202" s="49"/>
      <c r="F202" s="49"/>
      <c r="G202" s="49"/>
      <c r="H202" s="49"/>
      <c r="I202" s="49"/>
      <c r="J202" s="49"/>
      <c r="K202" s="49"/>
      <c r="L202" s="99"/>
      <c r="M202" s="49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9"/>
      <c r="D203" s="49"/>
      <c r="E203" s="49"/>
      <c r="F203" s="49"/>
      <c r="G203" s="49"/>
      <c r="H203" s="49"/>
      <c r="I203" s="49"/>
      <c r="J203" s="49"/>
      <c r="K203" s="49"/>
      <c r="L203" s="99"/>
      <c r="M203" s="49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9"/>
      <c r="D204" s="49"/>
      <c r="E204" s="49"/>
      <c r="F204" s="49"/>
      <c r="G204" s="49"/>
      <c r="H204" s="49"/>
      <c r="I204" s="49"/>
      <c r="J204" s="49"/>
      <c r="K204" s="49"/>
      <c r="L204" s="99"/>
      <c r="M204" s="49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9"/>
      <c r="D205" s="49"/>
      <c r="E205" s="49"/>
      <c r="F205" s="49"/>
      <c r="G205" s="49"/>
      <c r="H205" s="49"/>
      <c r="I205" s="49"/>
      <c r="J205" s="49"/>
      <c r="K205" s="49"/>
      <c r="L205" s="99"/>
      <c r="M205" s="49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9"/>
      <c r="D206" s="49"/>
      <c r="E206" s="49"/>
      <c r="F206" s="49"/>
      <c r="G206" s="49"/>
      <c r="H206" s="49"/>
      <c r="I206" s="49"/>
      <c r="J206" s="49"/>
      <c r="K206" s="49"/>
      <c r="L206" s="99"/>
      <c r="M206" s="49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9"/>
      <c r="D207" s="49"/>
      <c r="E207" s="49"/>
      <c r="F207" s="49"/>
      <c r="G207" s="49"/>
      <c r="H207" s="49"/>
      <c r="I207" s="49"/>
      <c r="J207" s="49"/>
      <c r="K207" s="49"/>
      <c r="L207" s="99"/>
      <c r="M207" s="49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9"/>
      <c r="D208" s="49"/>
      <c r="E208" s="49"/>
      <c r="F208" s="49"/>
      <c r="G208" s="49"/>
      <c r="H208" s="49"/>
      <c r="I208" s="49"/>
      <c r="J208" s="49"/>
      <c r="K208" s="49"/>
      <c r="L208" s="99"/>
      <c r="M208" s="49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9"/>
      <c r="D209" s="49"/>
      <c r="E209" s="49"/>
      <c r="F209" s="49"/>
      <c r="G209" s="49"/>
      <c r="H209" s="49"/>
      <c r="I209" s="49"/>
      <c r="J209" s="49"/>
      <c r="K209" s="49"/>
      <c r="L209" s="99"/>
      <c r="M209" s="49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9"/>
      <c r="D210" s="49"/>
      <c r="E210" s="49"/>
      <c r="F210" s="49"/>
      <c r="G210" s="49"/>
      <c r="H210" s="49"/>
      <c r="I210" s="49"/>
      <c r="J210" s="49"/>
      <c r="K210" s="49"/>
      <c r="L210" s="99"/>
      <c r="M210" s="49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9"/>
      <c r="D211" s="49"/>
      <c r="E211" s="49"/>
      <c r="F211" s="49"/>
      <c r="G211" s="49"/>
      <c r="H211" s="49"/>
      <c r="I211" s="49"/>
      <c r="J211" s="49"/>
      <c r="K211" s="49"/>
      <c r="L211" s="99"/>
      <c r="M211" s="49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9"/>
      <c r="D212" s="49"/>
      <c r="E212" s="49"/>
      <c r="F212" s="49"/>
      <c r="G212" s="49"/>
      <c r="H212" s="49"/>
      <c r="I212" s="49"/>
      <c r="J212" s="49"/>
      <c r="K212" s="49"/>
      <c r="L212" s="99"/>
      <c r="M212" s="49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9"/>
      <c r="D213" s="49"/>
      <c r="E213" s="49"/>
      <c r="F213" s="49"/>
      <c r="G213" s="49"/>
      <c r="H213" s="49"/>
      <c r="I213" s="49"/>
      <c r="J213" s="49"/>
      <c r="K213" s="49"/>
      <c r="L213" s="99"/>
      <c r="M213" s="49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9"/>
      <c r="D214" s="49"/>
      <c r="E214" s="49"/>
      <c r="F214" s="49"/>
      <c r="G214" s="49"/>
      <c r="H214" s="49"/>
      <c r="I214" s="49"/>
      <c r="J214" s="49"/>
      <c r="K214" s="49"/>
      <c r="L214" s="99"/>
      <c r="M214" s="49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9"/>
      <c r="D215" s="49"/>
      <c r="E215" s="49"/>
      <c r="F215" s="49"/>
      <c r="G215" s="49"/>
      <c r="H215" s="49"/>
      <c r="I215" s="49"/>
      <c r="J215" s="49"/>
      <c r="K215" s="49"/>
      <c r="L215" s="99"/>
      <c r="M215" s="49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9"/>
      <c r="D216" s="49"/>
      <c r="E216" s="49"/>
      <c r="F216" s="49"/>
      <c r="G216" s="49"/>
      <c r="H216" s="49"/>
      <c r="I216" s="49"/>
      <c r="J216" s="49"/>
      <c r="K216" s="49"/>
      <c r="L216" s="99"/>
      <c r="M216" s="49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9"/>
      <c r="D217" s="49"/>
      <c r="E217" s="49"/>
      <c r="F217" s="49"/>
      <c r="G217" s="49"/>
      <c r="H217" s="49"/>
      <c r="I217" s="49"/>
      <c r="J217" s="49"/>
      <c r="K217" s="49"/>
      <c r="L217" s="99"/>
      <c r="M217" s="49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9"/>
      <c r="D218" s="49"/>
      <c r="E218" s="49"/>
      <c r="F218" s="49"/>
      <c r="G218" s="49"/>
      <c r="H218" s="49"/>
      <c r="I218" s="49"/>
      <c r="J218" s="49"/>
      <c r="K218" s="49"/>
      <c r="L218" s="99"/>
      <c r="M218" s="49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9"/>
      <c r="D219" s="49"/>
      <c r="E219" s="49"/>
      <c r="F219" s="49"/>
      <c r="G219" s="49"/>
      <c r="H219" s="49"/>
      <c r="I219" s="49"/>
      <c r="J219" s="49"/>
      <c r="K219" s="49"/>
      <c r="L219" s="99"/>
      <c r="M219" s="49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9"/>
      <c r="D220" s="49"/>
      <c r="E220" s="49"/>
      <c r="F220" s="49"/>
      <c r="G220" s="49"/>
      <c r="H220" s="49"/>
      <c r="I220" s="49"/>
      <c r="J220" s="49"/>
      <c r="K220" s="49"/>
      <c r="L220" s="99"/>
      <c r="M220" s="49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9"/>
      <c r="D221" s="49"/>
      <c r="E221" s="49"/>
      <c r="F221" s="49"/>
      <c r="G221" s="49"/>
      <c r="H221" s="49"/>
      <c r="I221" s="49"/>
      <c r="J221" s="49"/>
      <c r="K221" s="49"/>
      <c r="L221" s="99"/>
      <c r="M221" s="49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9"/>
      <c r="D222" s="49"/>
      <c r="E222" s="49"/>
      <c r="F222" s="49"/>
      <c r="G222" s="49"/>
      <c r="H222" s="49"/>
      <c r="I222" s="49"/>
      <c r="J222" s="49"/>
      <c r="K222" s="49"/>
      <c r="L222" s="99"/>
      <c r="M222" s="49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9"/>
      <c r="D223" s="49"/>
      <c r="E223" s="49"/>
      <c r="F223" s="49"/>
      <c r="G223" s="49"/>
      <c r="H223" s="49"/>
      <c r="I223" s="49"/>
      <c r="J223" s="49"/>
      <c r="K223" s="49"/>
      <c r="L223" s="99"/>
      <c r="M223" s="49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9"/>
      <c r="D224" s="49"/>
      <c r="E224" s="49"/>
      <c r="F224" s="49"/>
      <c r="G224" s="49"/>
      <c r="H224" s="49"/>
      <c r="I224" s="49"/>
      <c r="J224" s="49"/>
      <c r="K224" s="49"/>
      <c r="L224" s="99"/>
      <c r="M224" s="49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9"/>
      <c r="D225" s="49"/>
      <c r="E225" s="49"/>
      <c r="F225" s="49"/>
      <c r="G225" s="49"/>
      <c r="H225" s="49"/>
      <c r="I225" s="49"/>
      <c r="J225" s="49"/>
      <c r="K225" s="49"/>
      <c r="L225" s="99"/>
      <c r="M225" s="49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9"/>
      <c r="D226" s="49"/>
      <c r="E226" s="49"/>
      <c r="F226" s="49"/>
      <c r="G226" s="49"/>
      <c r="H226" s="49"/>
      <c r="I226" s="49"/>
      <c r="J226" s="49"/>
      <c r="K226" s="49"/>
      <c r="L226" s="99"/>
      <c r="M226" s="49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9"/>
      <c r="D227" s="49"/>
      <c r="E227" s="49"/>
      <c r="F227" s="49"/>
      <c r="G227" s="49"/>
      <c r="H227" s="49"/>
      <c r="I227" s="49"/>
      <c r="J227" s="49"/>
      <c r="K227" s="49"/>
      <c r="L227" s="99"/>
      <c r="M227" s="49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9"/>
      <c r="D228" s="49"/>
      <c r="E228" s="49"/>
      <c r="F228" s="49"/>
      <c r="G228" s="49"/>
      <c r="H228" s="49"/>
      <c r="I228" s="49"/>
      <c r="J228" s="49"/>
      <c r="K228" s="49"/>
      <c r="L228" s="99"/>
      <c r="M228" s="49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9"/>
      <c r="D229" s="49"/>
      <c r="E229" s="49"/>
      <c r="F229" s="49"/>
      <c r="G229" s="49"/>
      <c r="H229" s="49"/>
      <c r="I229" s="49"/>
      <c r="J229" s="49"/>
      <c r="K229" s="49"/>
      <c r="L229" s="99"/>
      <c r="M229" s="49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9"/>
      <c r="D230" s="49"/>
      <c r="E230" s="49"/>
      <c r="F230" s="49"/>
      <c r="G230" s="49"/>
      <c r="H230" s="49"/>
      <c r="I230" s="49"/>
      <c r="J230" s="49"/>
      <c r="K230" s="49"/>
      <c r="L230" s="99"/>
      <c r="M230" s="49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9"/>
      <c r="D231" s="49"/>
      <c r="E231" s="49"/>
      <c r="F231" s="49"/>
      <c r="G231" s="49"/>
      <c r="H231" s="49"/>
      <c r="I231" s="49"/>
      <c r="J231" s="49"/>
      <c r="K231" s="49"/>
      <c r="L231" s="99"/>
      <c r="M231" s="49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9"/>
      <c r="D232" s="49"/>
      <c r="E232" s="49"/>
      <c r="F232" s="49"/>
      <c r="G232" s="49"/>
      <c r="H232" s="49"/>
      <c r="I232" s="49"/>
      <c r="J232" s="49"/>
      <c r="K232" s="49"/>
      <c r="L232" s="99"/>
      <c r="M232" s="49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9"/>
      <c r="D233" s="49"/>
      <c r="E233" s="49"/>
      <c r="F233" s="49"/>
      <c r="G233" s="49"/>
      <c r="H233" s="49"/>
      <c r="I233" s="49"/>
      <c r="J233" s="49"/>
      <c r="K233" s="49"/>
      <c r="L233" s="99"/>
      <c r="M233" s="49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9"/>
      <c r="D234" s="49"/>
      <c r="E234" s="49"/>
      <c r="F234" s="49"/>
      <c r="G234" s="49"/>
      <c r="H234" s="49"/>
      <c r="I234" s="49"/>
      <c r="J234" s="49"/>
      <c r="K234" s="49"/>
      <c r="L234" s="99"/>
      <c r="M234" s="49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9"/>
      <c r="D235" s="49"/>
      <c r="E235" s="49"/>
      <c r="F235" s="49"/>
      <c r="G235" s="49"/>
      <c r="H235" s="49"/>
      <c r="I235" s="49"/>
      <c r="J235" s="49"/>
      <c r="K235" s="49"/>
      <c r="L235" s="99"/>
      <c r="M235" s="49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9"/>
      <c r="D236" s="49"/>
      <c r="E236" s="49"/>
      <c r="F236" s="49"/>
      <c r="G236" s="49"/>
      <c r="H236" s="49"/>
      <c r="I236" s="49"/>
      <c r="J236" s="49"/>
      <c r="K236" s="49"/>
      <c r="L236" s="99"/>
      <c r="M236" s="49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9"/>
      <c r="D237" s="49"/>
      <c r="E237" s="49"/>
      <c r="F237" s="49"/>
      <c r="G237" s="49"/>
      <c r="H237" s="49"/>
      <c r="I237" s="49"/>
      <c r="J237" s="49"/>
      <c r="K237" s="49"/>
      <c r="L237" s="99"/>
      <c r="M237" s="49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9"/>
      <c r="D238" s="49"/>
      <c r="E238" s="49"/>
      <c r="F238" s="49"/>
      <c r="G238" s="49"/>
      <c r="H238" s="49"/>
      <c r="I238" s="49"/>
      <c r="J238" s="49"/>
      <c r="K238" s="49"/>
      <c r="L238" s="99"/>
      <c r="M238" s="49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9"/>
      <c r="D239" s="49"/>
      <c r="E239" s="49"/>
      <c r="F239" s="49"/>
      <c r="G239" s="49"/>
      <c r="H239" s="49"/>
      <c r="I239" s="49"/>
      <c r="J239" s="49"/>
      <c r="K239" s="49"/>
      <c r="L239" s="99"/>
      <c r="M239" s="49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9"/>
      <c r="D240" s="49"/>
      <c r="E240" s="49"/>
      <c r="F240" s="49"/>
      <c r="G240" s="49"/>
      <c r="H240" s="49"/>
      <c r="I240" s="49"/>
      <c r="J240" s="49"/>
      <c r="K240" s="49"/>
      <c r="L240" s="99"/>
      <c r="M240" s="49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9"/>
      <c r="D241" s="49"/>
      <c r="E241" s="49"/>
      <c r="F241" s="49"/>
      <c r="G241" s="49"/>
      <c r="H241" s="49"/>
      <c r="I241" s="49"/>
      <c r="J241" s="49"/>
      <c r="K241" s="49"/>
      <c r="L241" s="99"/>
      <c r="M241" s="49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</row>
    <row r="243" ht="15.75" customHeight="1"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</row>
    <row r="244" ht="15.75" customHeight="1"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</row>
    <row r="245" ht="15.75" customHeight="1"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</row>
    <row r="246" ht="15.75" customHeight="1"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</row>
    <row r="247" ht="15.75" customHeight="1"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</row>
    <row r="248" ht="15.75" customHeight="1"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</row>
    <row r="249" ht="15.75" customHeight="1"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</row>
    <row r="250" ht="15.75" customHeight="1"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</row>
    <row r="251" ht="15.75" customHeight="1"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</row>
    <row r="252" ht="15.75" customHeight="1"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</row>
    <row r="253" ht="15.75" customHeight="1"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</row>
    <row r="254" ht="15.75" customHeight="1"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</row>
    <row r="255" ht="15.75" customHeight="1"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</row>
    <row r="256" ht="15.75" customHeight="1"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</row>
    <row r="257" ht="15.75" customHeight="1"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</row>
    <row r="258" ht="15.75" customHeight="1"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</row>
    <row r="259" ht="15.75" customHeight="1"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</row>
    <row r="260" ht="15.75" customHeight="1"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</row>
    <row r="261" ht="15.75" customHeight="1"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</row>
    <row r="262" ht="15.75" customHeight="1"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</row>
    <row r="263" ht="15.75" customHeight="1"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</row>
    <row r="264" ht="15.75" customHeight="1"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</row>
    <row r="265" ht="15.75" customHeight="1"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</row>
    <row r="266" ht="15.75" customHeight="1"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</row>
    <row r="267" ht="15.75" customHeight="1"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</row>
    <row r="268" ht="15.75" customHeight="1"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</row>
    <row r="269" ht="15.75" customHeight="1"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2:C2"/>
    <mergeCell ref="A6:B6"/>
    <mergeCell ref="A7:B7"/>
    <mergeCell ref="A8:B8"/>
  </mergeCells>
  <conditionalFormatting sqref="J15:J16 J20 J24:J27 L24:L27 J33:J36">
    <cfRule type="cellIs" dxfId="0" priority="1" operator="greaterThan">
      <formula>L15</formula>
    </cfRule>
  </conditionalFormatting>
  <conditionalFormatting sqref="J15:J16 J20 J24:J27 L24:L27 J33:J36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4.5"/>
  </cols>
  <sheetData>
    <row r="1" ht="15.75" customHeight="1">
      <c r="A1" s="40" t="s">
        <v>33</v>
      </c>
      <c r="B1" s="40" t="s">
        <v>220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323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J20</f>
        <v>1500</v>
      </c>
      <c r="K6" s="42"/>
      <c r="L6" s="37">
        <f>L20</f>
        <v>1500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J30</f>
        <v>42600</v>
      </c>
      <c r="K7" s="42"/>
      <c r="L7" s="37">
        <f>L30</f>
        <v>42600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-41100</v>
      </c>
      <c r="K8" s="42"/>
      <c r="L8" s="37">
        <f>L6-L7</f>
        <v>-41100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100" t="s">
        <v>324</v>
      </c>
      <c r="C13" s="100"/>
      <c r="D13" s="100"/>
      <c r="E13" s="100"/>
      <c r="F13" s="100"/>
      <c r="G13" s="100"/>
      <c r="H13" s="100"/>
      <c r="I13" s="100"/>
      <c r="J13" s="101">
        <f>J26</f>
        <v>500</v>
      </c>
      <c r="K13" s="100"/>
      <c r="L13" s="101">
        <v>500.0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43"/>
      <c r="D14" s="43"/>
      <c r="E14" s="43"/>
      <c r="F14" s="43"/>
      <c r="G14" s="43"/>
      <c r="H14" s="43"/>
      <c r="I14" s="43"/>
      <c r="J14" s="16">
        <f>SUM(J12:J13)</f>
        <v>500</v>
      </c>
      <c r="K14" s="43"/>
      <c r="L14" s="73">
        <f>SUM(L13)</f>
        <v>500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73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80">
        <v>3911.0</v>
      </c>
      <c r="B16" s="52" t="s">
        <v>325</v>
      </c>
      <c r="C16" s="43"/>
      <c r="D16" s="43"/>
      <c r="E16" s="43"/>
      <c r="F16" s="43"/>
      <c r="G16" s="43"/>
      <c r="H16" s="43"/>
      <c r="I16" s="43"/>
      <c r="J16" s="16"/>
      <c r="K16" s="43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 t="s">
        <v>326</v>
      </c>
      <c r="C17" s="43"/>
      <c r="D17" s="43"/>
      <c r="E17" s="43"/>
      <c r="F17" s="43"/>
      <c r="G17" s="43"/>
      <c r="H17" s="43"/>
      <c r="I17" s="43"/>
      <c r="J17" s="16">
        <v>1000.0</v>
      </c>
      <c r="L17" s="16">
        <v>1000.0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81" t="s">
        <v>147</v>
      </c>
      <c r="C18" s="31"/>
      <c r="D18" s="31"/>
      <c r="E18" s="31"/>
      <c r="F18" s="31"/>
      <c r="G18" s="31"/>
      <c r="H18" s="31"/>
      <c r="I18" s="31"/>
      <c r="J18" s="82">
        <f>SUM(J17)</f>
        <v>1000</v>
      </c>
      <c r="K18" s="31"/>
      <c r="L18" s="82">
        <f>SUM(L17)</f>
        <v>1000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7"/>
      <c r="B20" s="47" t="s">
        <v>3</v>
      </c>
      <c r="C20" s="47"/>
      <c r="D20" s="47"/>
      <c r="E20" s="47"/>
      <c r="F20" s="47"/>
      <c r="G20" s="47"/>
      <c r="H20" s="47"/>
      <c r="I20" s="47"/>
      <c r="J20" s="57">
        <f>SUM(J11:J19)/2</f>
        <v>1500</v>
      </c>
      <c r="K20" s="47"/>
      <c r="L20" s="57">
        <f>SUM(L11:L19)/2</f>
        <v>1500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4000.0</v>
      </c>
      <c r="B22" s="52" t="s">
        <v>176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327</v>
      </c>
      <c r="C23" s="43"/>
      <c r="D23" s="43"/>
      <c r="E23" s="43"/>
      <c r="F23" s="43"/>
      <c r="G23" s="43"/>
      <c r="H23" s="43"/>
      <c r="I23" s="43"/>
      <c r="J23" s="16">
        <v>1100.0</v>
      </c>
      <c r="K23" s="43"/>
      <c r="L23" s="16">
        <v>1100.0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328</v>
      </c>
      <c r="C24" s="43"/>
      <c r="D24" s="43"/>
      <c r="E24" s="43"/>
      <c r="F24" s="43"/>
      <c r="G24" s="43"/>
      <c r="H24" s="43"/>
      <c r="I24" s="43"/>
      <c r="J24" s="16">
        <v>35000.0</v>
      </c>
      <c r="K24" s="43"/>
      <c r="L24" s="16">
        <v>35000.0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329</v>
      </c>
      <c r="C25" s="43"/>
      <c r="D25" s="43"/>
      <c r="E25" s="43"/>
      <c r="F25" s="43"/>
      <c r="G25" s="43"/>
      <c r="H25" s="43"/>
      <c r="I25" s="43"/>
      <c r="J25" s="16">
        <v>1000.0</v>
      </c>
      <c r="K25" s="43"/>
      <c r="L25" s="16">
        <v>1000.0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330</v>
      </c>
      <c r="C26" s="43"/>
      <c r="D26" s="43"/>
      <c r="E26" s="43"/>
      <c r="F26" s="43"/>
      <c r="G26" s="43"/>
      <c r="H26" s="43"/>
      <c r="I26" s="43"/>
      <c r="J26" s="16">
        <v>500.0</v>
      </c>
      <c r="L26" s="16">
        <v>500.0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331</v>
      </c>
      <c r="C27" s="43"/>
      <c r="D27" s="43"/>
      <c r="E27" s="43"/>
      <c r="F27" s="43"/>
      <c r="G27" s="43"/>
      <c r="H27" s="43"/>
      <c r="I27" s="43"/>
      <c r="J27" s="16">
        <v>5000.0</v>
      </c>
      <c r="L27" s="16">
        <v>5000.0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81" t="s">
        <v>147</v>
      </c>
      <c r="C28" s="31"/>
      <c r="D28" s="31"/>
      <c r="E28" s="31"/>
      <c r="F28" s="31"/>
      <c r="G28" s="31"/>
      <c r="H28" s="31"/>
      <c r="I28" s="31"/>
      <c r="J28" s="82">
        <f>SUM(J23:J27)</f>
        <v>42600</v>
      </c>
      <c r="K28" s="31"/>
      <c r="L28" s="82">
        <f>SUM(L23:L27)</f>
        <v>42600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16"/>
      <c r="K29" s="43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7"/>
      <c r="B30" s="47" t="s">
        <v>4</v>
      </c>
      <c r="C30" s="47"/>
      <c r="D30" s="47"/>
      <c r="E30" s="47"/>
      <c r="F30" s="47"/>
      <c r="G30" s="47"/>
      <c r="H30" s="47"/>
      <c r="I30" s="47"/>
      <c r="J30" s="57">
        <f>SUM(J21:J29)/2</f>
        <v>42600</v>
      </c>
      <c r="K30" s="47"/>
      <c r="L30" s="57">
        <f>SUM(L21:L29)/2</f>
        <v>42600</v>
      </c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49"/>
      <c r="Z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16"/>
      <c r="K31" s="43"/>
      <c r="L31" s="1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7"/>
      <c r="B32" s="47" t="s">
        <v>5</v>
      </c>
      <c r="C32" s="47"/>
      <c r="D32" s="47"/>
      <c r="E32" s="47"/>
      <c r="F32" s="47"/>
      <c r="G32" s="47"/>
      <c r="H32" s="47"/>
      <c r="I32" s="47"/>
      <c r="J32" s="57">
        <f>J20-J30</f>
        <v>-41100</v>
      </c>
      <c r="K32" s="47"/>
      <c r="L32" s="57">
        <f>L20-L30</f>
        <v>-41100</v>
      </c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2:C2"/>
    <mergeCell ref="A6:B6"/>
    <mergeCell ref="A7:B7"/>
    <mergeCell ref="A8:B8"/>
  </mergeCells>
  <conditionalFormatting sqref="J17 J23:J27">
    <cfRule type="cellIs" dxfId="0" priority="1" operator="greaterThan">
      <formula>L17</formula>
    </cfRule>
  </conditionalFormatting>
  <conditionalFormatting sqref="J17 J23:J27">
    <cfRule type="cellIs" dxfId="1" priority="2" operator="lessThan">
      <formula>L17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36</v>
      </c>
      <c r="B1" s="40" t="s">
        <v>26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332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2500</v>
      </c>
      <c r="K6" s="42"/>
      <c r="L6" s="37">
        <v>2500.0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J36</f>
        <v>3035</v>
      </c>
      <c r="K7" s="42"/>
      <c r="L7" s="37">
        <v>4420.0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-535</v>
      </c>
      <c r="K8" s="42"/>
      <c r="L8" s="37">
        <v>-1920.0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80">
        <v>3000.0</v>
      </c>
      <c r="B12" s="52" t="s">
        <v>250</v>
      </c>
      <c r="C12" s="52"/>
      <c r="D12" s="52"/>
      <c r="E12" s="52"/>
      <c r="F12" s="52"/>
      <c r="G12" s="52"/>
      <c r="H12" s="52"/>
      <c r="I12" s="52"/>
      <c r="J12" s="73"/>
      <c r="K12" s="52"/>
      <c r="L12" s="7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43" t="s">
        <v>333</v>
      </c>
      <c r="C13" s="43"/>
      <c r="D13" s="43"/>
      <c r="E13" s="43"/>
      <c r="F13" s="43"/>
      <c r="G13" s="43"/>
      <c r="H13" s="16"/>
      <c r="I13" s="43"/>
      <c r="J13" s="16">
        <v>2500.0</v>
      </c>
      <c r="K13" s="43"/>
      <c r="L13" s="16">
        <v>2500.0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81" t="s">
        <v>147</v>
      </c>
      <c r="C14" s="81"/>
      <c r="D14" s="81"/>
      <c r="E14" s="81"/>
      <c r="F14" s="81"/>
      <c r="G14" s="81"/>
      <c r="H14" s="81"/>
      <c r="I14" s="81"/>
      <c r="J14" s="82">
        <f>SUM(J13)</f>
        <v>2500</v>
      </c>
      <c r="K14" s="81"/>
      <c r="L14" s="82">
        <v>2500.0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52"/>
      <c r="C15" s="52"/>
      <c r="D15" s="52"/>
      <c r="E15" s="52"/>
      <c r="F15" s="52"/>
      <c r="G15" s="52"/>
      <c r="H15" s="52"/>
      <c r="I15" s="52"/>
      <c r="J15" s="73"/>
      <c r="K15" s="52"/>
      <c r="L15" s="73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SUM(J14)</f>
        <v>2500</v>
      </c>
      <c r="K16" s="47"/>
      <c r="L16" s="57">
        <v>2500.0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80">
        <v>4000.0</v>
      </c>
      <c r="B18" s="52" t="s">
        <v>176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334</v>
      </c>
      <c r="C19" s="43"/>
      <c r="D19" s="43"/>
      <c r="E19" s="43"/>
      <c r="F19" s="43"/>
      <c r="G19" s="43"/>
      <c r="H19" s="16"/>
      <c r="I19" s="43"/>
      <c r="J19" s="16">
        <v>1000.0</v>
      </c>
      <c r="K19" s="43"/>
      <c r="L19" s="16">
        <v>1000.0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335</v>
      </c>
      <c r="C20" s="43"/>
      <c r="D20" s="43"/>
      <c r="E20" s="43"/>
      <c r="F20" s="43"/>
      <c r="G20" s="43"/>
      <c r="H20" s="16"/>
      <c r="I20" s="43"/>
      <c r="J20" s="16">
        <v>1000.0</v>
      </c>
      <c r="K20" s="43"/>
      <c r="L20" s="16">
        <v>1000.0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81" t="s">
        <v>147</v>
      </c>
      <c r="C21" s="31"/>
      <c r="D21" s="31"/>
      <c r="E21" s="31"/>
      <c r="F21" s="31"/>
      <c r="G21" s="31"/>
      <c r="H21" s="31"/>
      <c r="I21" s="31"/>
      <c r="J21" s="82">
        <f>SUM(J19:J20)</f>
        <v>2000</v>
      </c>
      <c r="K21" s="31"/>
      <c r="L21" s="82">
        <v>2000.0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80">
        <v>4002.0</v>
      </c>
      <c r="B23" s="52" t="s">
        <v>145</v>
      </c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146</v>
      </c>
      <c r="C24" s="43"/>
      <c r="D24" s="43"/>
      <c r="E24" s="43"/>
      <c r="F24" s="43"/>
      <c r="G24" s="43"/>
      <c r="H24" s="43"/>
      <c r="I24" s="43"/>
      <c r="J24" s="16">
        <v>0.0</v>
      </c>
      <c r="K24" s="43"/>
      <c r="L24" s="16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SUM(J24)</f>
        <v>0</v>
      </c>
      <c r="K25" s="31"/>
      <c r="L25" s="82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52"/>
      <c r="C26" s="43"/>
      <c r="D26" s="43"/>
      <c r="E26" s="43"/>
      <c r="F26" s="43"/>
      <c r="G26" s="43"/>
      <c r="H26" s="43"/>
      <c r="I26" s="43"/>
      <c r="J26" s="73"/>
      <c r="K26" s="43"/>
      <c r="L26" s="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80">
        <v>5480.0</v>
      </c>
      <c r="B27" s="52" t="s">
        <v>148</v>
      </c>
      <c r="C27" s="52"/>
      <c r="D27" s="52"/>
      <c r="E27" s="52"/>
      <c r="F27" s="52"/>
      <c r="G27" s="52"/>
      <c r="H27" s="52"/>
      <c r="I27" s="52"/>
      <c r="J27" s="73"/>
      <c r="K27" s="52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336</v>
      </c>
      <c r="C28" s="43"/>
      <c r="D28" s="43"/>
      <c r="E28" s="43"/>
      <c r="F28" s="43"/>
      <c r="I28" s="43"/>
      <c r="J28" s="59">
        <v>0.0</v>
      </c>
      <c r="K28" s="43"/>
      <c r="L28" s="98">
        <v>350.0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SUM(J28)</f>
        <v>0</v>
      </c>
      <c r="K29" s="81"/>
      <c r="L29" s="37">
        <v>350.0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52"/>
      <c r="C30" s="43"/>
      <c r="D30" s="43"/>
      <c r="E30" s="43"/>
      <c r="F30" s="43"/>
      <c r="G30" s="43"/>
      <c r="H30" s="43"/>
      <c r="I30" s="43"/>
      <c r="J30" s="73"/>
      <c r="K30" s="43"/>
      <c r="L30" s="7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80">
        <v>7600.0</v>
      </c>
      <c r="B31" s="52" t="s">
        <v>157</v>
      </c>
      <c r="C31" s="43"/>
      <c r="D31" s="43"/>
      <c r="E31" s="43"/>
      <c r="F31" s="43"/>
      <c r="G31" s="43"/>
      <c r="H31" s="43"/>
      <c r="I31" s="43"/>
      <c r="J31" s="16"/>
      <c r="K31" s="43"/>
      <c r="L31" s="1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337</v>
      </c>
      <c r="C32" s="43"/>
      <c r="D32" s="43"/>
      <c r="E32" s="43"/>
      <c r="F32" s="43"/>
      <c r="G32" s="43"/>
      <c r="H32" s="16"/>
      <c r="I32" s="43"/>
      <c r="J32" s="16">
        <f>Parametrar!$I$8</f>
        <v>207</v>
      </c>
      <c r="K32" s="43"/>
      <c r="L32" s="16">
        <v>414.0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 t="s">
        <v>338</v>
      </c>
      <c r="C33" s="43"/>
      <c r="D33" s="43"/>
      <c r="E33" s="43"/>
      <c r="F33" s="43">
        <v>4.0</v>
      </c>
      <c r="G33" s="43" t="s">
        <v>155</v>
      </c>
      <c r="H33" s="16">
        <f>Parametrar!$I$8</f>
        <v>207</v>
      </c>
      <c r="I33" s="84" t="s">
        <v>119</v>
      </c>
      <c r="J33" s="16">
        <f>F33*H33</f>
        <v>828</v>
      </c>
      <c r="K33" s="43"/>
      <c r="L33" s="16">
        <v>1656.0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81" t="s">
        <v>147</v>
      </c>
      <c r="C34" s="31"/>
      <c r="D34" s="31"/>
      <c r="E34" s="31"/>
      <c r="F34" s="31"/>
      <c r="G34" s="31"/>
      <c r="H34" s="31"/>
      <c r="I34" s="31"/>
      <c r="J34" s="82">
        <f>SUM(J32:J33)</f>
        <v>1035</v>
      </c>
      <c r="K34" s="31"/>
      <c r="L34" s="82">
        <v>2070.0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7"/>
      <c r="B36" s="47" t="s">
        <v>4</v>
      </c>
      <c r="C36" s="47"/>
      <c r="D36" s="47"/>
      <c r="E36" s="47"/>
      <c r="F36" s="47"/>
      <c r="G36" s="47"/>
      <c r="H36" s="47"/>
      <c r="I36" s="47"/>
      <c r="J36" s="57">
        <f>SUM(J17:J35)/2</f>
        <v>3035</v>
      </c>
      <c r="K36" s="47"/>
      <c r="L36" s="57">
        <v>4420.0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16"/>
      <c r="K37" s="43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7"/>
      <c r="B38" s="47" t="s">
        <v>5</v>
      </c>
      <c r="C38" s="47"/>
      <c r="D38" s="47"/>
      <c r="E38" s="47"/>
      <c r="F38" s="47"/>
      <c r="G38" s="47"/>
      <c r="H38" s="47"/>
      <c r="I38" s="47"/>
      <c r="J38" s="57">
        <f>J16-J36</f>
        <v>-535</v>
      </c>
      <c r="K38" s="47"/>
      <c r="L38" s="57">
        <v>-1920.0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9"/>
      <c r="G199" s="49"/>
      <c r="H199" s="49"/>
      <c r="I199" s="49"/>
      <c r="J199" s="49"/>
      <c r="K199" s="49"/>
      <c r="L199" s="99"/>
      <c r="M199" s="49"/>
      <c r="N199" s="49"/>
      <c r="O199" s="49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9"/>
      <c r="G200" s="49"/>
      <c r="H200" s="49"/>
      <c r="I200" s="49"/>
      <c r="J200" s="49"/>
      <c r="K200" s="49"/>
      <c r="L200" s="99"/>
      <c r="M200" s="49"/>
      <c r="N200" s="49"/>
      <c r="O200" s="49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9"/>
      <c r="G201" s="49"/>
      <c r="H201" s="49"/>
      <c r="I201" s="49"/>
      <c r="J201" s="49"/>
      <c r="K201" s="49"/>
      <c r="L201" s="99"/>
      <c r="M201" s="49"/>
      <c r="N201" s="49"/>
      <c r="O201" s="49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9"/>
      <c r="G202" s="49"/>
      <c r="H202" s="49"/>
      <c r="I202" s="49"/>
      <c r="J202" s="49"/>
      <c r="K202" s="49"/>
      <c r="L202" s="99"/>
      <c r="M202" s="49"/>
      <c r="N202" s="49"/>
      <c r="O202" s="49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9"/>
      <c r="G203" s="49"/>
      <c r="H203" s="49"/>
      <c r="I203" s="49"/>
      <c r="J203" s="49"/>
      <c r="K203" s="49"/>
      <c r="L203" s="99"/>
      <c r="M203" s="49"/>
      <c r="N203" s="49"/>
      <c r="O203" s="49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9"/>
      <c r="G204" s="49"/>
      <c r="H204" s="49"/>
      <c r="I204" s="49"/>
      <c r="J204" s="49"/>
      <c r="K204" s="49"/>
      <c r="L204" s="99"/>
      <c r="M204" s="49"/>
      <c r="N204" s="49"/>
      <c r="O204" s="49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9"/>
      <c r="G205" s="49"/>
      <c r="H205" s="49"/>
      <c r="I205" s="49"/>
      <c r="J205" s="49"/>
      <c r="K205" s="49"/>
      <c r="L205" s="99"/>
      <c r="M205" s="49"/>
      <c r="N205" s="49"/>
      <c r="O205" s="49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9"/>
      <c r="G206" s="49"/>
      <c r="H206" s="49"/>
      <c r="I206" s="49"/>
      <c r="J206" s="49"/>
      <c r="K206" s="49"/>
      <c r="L206" s="99"/>
      <c r="M206" s="49"/>
      <c r="N206" s="49"/>
      <c r="O206" s="49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9"/>
      <c r="G207" s="49"/>
      <c r="H207" s="49"/>
      <c r="I207" s="49"/>
      <c r="J207" s="49"/>
      <c r="K207" s="49"/>
      <c r="L207" s="99"/>
      <c r="M207" s="49"/>
      <c r="N207" s="49"/>
      <c r="O207" s="49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9"/>
      <c r="G208" s="49"/>
      <c r="H208" s="49"/>
      <c r="I208" s="49"/>
      <c r="J208" s="49"/>
      <c r="K208" s="49"/>
      <c r="L208" s="99"/>
      <c r="M208" s="49"/>
      <c r="N208" s="49"/>
      <c r="O208" s="49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9"/>
      <c r="G209" s="49"/>
      <c r="H209" s="49"/>
      <c r="I209" s="49"/>
      <c r="J209" s="49"/>
      <c r="K209" s="49"/>
      <c r="L209" s="99"/>
      <c r="M209" s="49"/>
      <c r="N209" s="49"/>
      <c r="O209" s="49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9"/>
      <c r="G210" s="49"/>
      <c r="H210" s="49"/>
      <c r="I210" s="49"/>
      <c r="J210" s="49"/>
      <c r="K210" s="49"/>
      <c r="L210" s="99"/>
      <c r="M210" s="49"/>
      <c r="N210" s="49"/>
      <c r="O210" s="49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9"/>
      <c r="G211" s="49"/>
      <c r="H211" s="49"/>
      <c r="I211" s="49"/>
      <c r="J211" s="49"/>
      <c r="K211" s="49"/>
      <c r="L211" s="99"/>
      <c r="M211" s="49"/>
      <c r="N211" s="49"/>
      <c r="O211" s="49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9"/>
      <c r="G212" s="49"/>
      <c r="H212" s="49"/>
      <c r="I212" s="49"/>
      <c r="J212" s="49"/>
      <c r="K212" s="49"/>
      <c r="L212" s="99"/>
      <c r="M212" s="49"/>
      <c r="N212" s="49"/>
      <c r="O212" s="49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9"/>
      <c r="G213" s="49"/>
      <c r="H213" s="49"/>
      <c r="I213" s="49"/>
      <c r="J213" s="49"/>
      <c r="K213" s="49"/>
      <c r="L213" s="99"/>
      <c r="M213" s="49"/>
      <c r="N213" s="49"/>
      <c r="O213" s="49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9"/>
      <c r="G214" s="49"/>
      <c r="H214" s="49"/>
      <c r="I214" s="49"/>
      <c r="J214" s="49"/>
      <c r="K214" s="49"/>
      <c r="L214" s="99"/>
      <c r="M214" s="49"/>
      <c r="N214" s="49"/>
      <c r="O214" s="49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9"/>
      <c r="G215" s="49"/>
      <c r="H215" s="49"/>
      <c r="I215" s="49"/>
      <c r="J215" s="49"/>
      <c r="K215" s="49"/>
      <c r="L215" s="99"/>
      <c r="M215" s="49"/>
      <c r="N215" s="49"/>
      <c r="O215" s="49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9"/>
      <c r="G216" s="49"/>
      <c r="H216" s="49"/>
      <c r="I216" s="49"/>
      <c r="J216" s="49"/>
      <c r="K216" s="49"/>
      <c r="L216" s="99"/>
      <c r="M216" s="49"/>
      <c r="N216" s="49"/>
      <c r="O216" s="49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9"/>
      <c r="G217" s="49"/>
      <c r="H217" s="49"/>
      <c r="I217" s="49"/>
      <c r="J217" s="49"/>
      <c r="K217" s="49"/>
      <c r="L217" s="99"/>
      <c r="M217" s="49"/>
      <c r="N217" s="49"/>
      <c r="O217" s="49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9"/>
      <c r="G218" s="49"/>
      <c r="H218" s="49"/>
      <c r="I218" s="49"/>
      <c r="J218" s="49"/>
      <c r="K218" s="49"/>
      <c r="L218" s="99"/>
      <c r="M218" s="49"/>
      <c r="N218" s="49"/>
      <c r="O218" s="49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9"/>
      <c r="G219" s="49"/>
      <c r="H219" s="49"/>
      <c r="I219" s="49"/>
      <c r="J219" s="49"/>
      <c r="K219" s="49"/>
      <c r="L219" s="99"/>
      <c r="M219" s="49"/>
      <c r="N219" s="49"/>
      <c r="O219" s="49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9"/>
      <c r="G220" s="49"/>
      <c r="H220" s="49"/>
      <c r="I220" s="49"/>
      <c r="J220" s="49"/>
      <c r="K220" s="49"/>
      <c r="L220" s="99"/>
      <c r="M220" s="49"/>
      <c r="N220" s="49"/>
      <c r="O220" s="49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9"/>
      <c r="G221" s="49"/>
      <c r="H221" s="49"/>
      <c r="I221" s="49"/>
      <c r="J221" s="49"/>
      <c r="K221" s="49"/>
      <c r="L221" s="99"/>
      <c r="M221" s="49"/>
      <c r="N221" s="49"/>
      <c r="O221" s="49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9"/>
      <c r="G222" s="49"/>
      <c r="H222" s="49"/>
      <c r="I222" s="49"/>
      <c r="J222" s="49"/>
      <c r="K222" s="49"/>
      <c r="L222" s="99"/>
      <c r="M222" s="49"/>
      <c r="N222" s="49"/>
      <c r="O222" s="49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9"/>
      <c r="G223" s="49"/>
      <c r="H223" s="49"/>
      <c r="I223" s="49"/>
      <c r="J223" s="49"/>
      <c r="K223" s="49"/>
      <c r="L223" s="99"/>
      <c r="M223" s="49"/>
      <c r="N223" s="49"/>
      <c r="O223" s="49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9"/>
      <c r="G224" s="49"/>
      <c r="H224" s="49"/>
      <c r="I224" s="49"/>
      <c r="J224" s="49"/>
      <c r="K224" s="49"/>
      <c r="L224" s="99"/>
      <c r="M224" s="49"/>
      <c r="N224" s="49"/>
      <c r="O224" s="49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9"/>
      <c r="G225" s="49"/>
      <c r="H225" s="49"/>
      <c r="I225" s="49"/>
      <c r="J225" s="49"/>
      <c r="K225" s="49"/>
      <c r="L225" s="99"/>
      <c r="M225" s="49"/>
      <c r="N225" s="49"/>
      <c r="O225" s="49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9"/>
      <c r="G226" s="49"/>
      <c r="H226" s="49"/>
      <c r="I226" s="49"/>
      <c r="J226" s="49"/>
      <c r="K226" s="49"/>
      <c r="L226" s="99"/>
      <c r="M226" s="49"/>
      <c r="N226" s="49"/>
      <c r="O226" s="49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9"/>
      <c r="G227" s="49"/>
      <c r="H227" s="49"/>
      <c r="I227" s="49"/>
      <c r="J227" s="49"/>
      <c r="K227" s="49"/>
      <c r="L227" s="99"/>
      <c r="M227" s="49"/>
      <c r="N227" s="49"/>
      <c r="O227" s="49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9"/>
      <c r="G228" s="49"/>
      <c r="H228" s="49"/>
      <c r="I228" s="49"/>
      <c r="J228" s="49"/>
      <c r="K228" s="49"/>
      <c r="L228" s="99"/>
      <c r="M228" s="49"/>
      <c r="N228" s="49"/>
      <c r="O228" s="49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9"/>
      <c r="G229" s="49"/>
      <c r="H229" s="49"/>
      <c r="I229" s="49"/>
      <c r="J229" s="49"/>
      <c r="K229" s="49"/>
      <c r="L229" s="99"/>
      <c r="M229" s="49"/>
      <c r="N229" s="49"/>
      <c r="O229" s="49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9"/>
      <c r="G230" s="49"/>
      <c r="H230" s="49"/>
      <c r="I230" s="49"/>
      <c r="J230" s="49"/>
      <c r="K230" s="49"/>
      <c r="L230" s="99"/>
      <c r="M230" s="49"/>
      <c r="N230" s="49"/>
      <c r="O230" s="49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9"/>
      <c r="G231" s="49"/>
      <c r="H231" s="49"/>
      <c r="I231" s="49"/>
      <c r="J231" s="49"/>
      <c r="K231" s="49"/>
      <c r="L231" s="99"/>
      <c r="M231" s="49"/>
      <c r="N231" s="49"/>
      <c r="O231" s="49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9"/>
      <c r="G232" s="49"/>
      <c r="H232" s="49"/>
      <c r="I232" s="49"/>
      <c r="J232" s="49"/>
      <c r="K232" s="49"/>
      <c r="L232" s="99"/>
      <c r="M232" s="49"/>
      <c r="N232" s="49"/>
      <c r="O232" s="49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9"/>
      <c r="G233" s="49"/>
      <c r="H233" s="49"/>
      <c r="I233" s="49"/>
      <c r="J233" s="49"/>
      <c r="K233" s="49"/>
      <c r="L233" s="99"/>
      <c r="M233" s="49"/>
      <c r="N233" s="49"/>
      <c r="O233" s="49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9"/>
      <c r="G234" s="49"/>
      <c r="H234" s="49"/>
      <c r="I234" s="49"/>
      <c r="J234" s="49"/>
      <c r="K234" s="49"/>
      <c r="L234" s="99"/>
      <c r="M234" s="49"/>
      <c r="N234" s="49"/>
      <c r="O234" s="49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9"/>
      <c r="G235" s="49"/>
      <c r="H235" s="49"/>
      <c r="I235" s="49"/>
      <c r="J235" s="49"/>
      <c r="K235" s="49"/>
      <c r="L235" s="99"/>
      <c r="M235" s="49"/>
      <c r="N235" s="49"/>
      <c r="O235" s="49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9"/>
      <c r="G236" s="49"/>
      <c r="H236" s="49"/>
      <c r="I236" s="49"/>
      <c r="J236" s="49"/>
      <c r="K236" s="49"/>
      <c r="L236" s="99"/>
      <c r="M236" s="49"/>
      <c r="N236" s="49"/>
      <c r="O236" s="49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9"/>
      <c r="G237" s="49"/>
      <c r="H237" s="49"/>
      <c r="I237" s="49"/>
      <c r="J237" s="49"/>
      <c r="K237" s="49"/>
      <c r="L237" s="99"/>
      <c r="M237" s="49"/>
      <c r="N237" s="49"/>
      <c r="O237" s="49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9"/>
      <c r="G238" s="49"/>
      <c r="H238" s="49"/>
      <c r="I238" s="49"/>
      <c r="J238" s="49"/>
      <c r="K238" s="49"/>
      <c r="L238" s="99"/>
      <c r="M238" s="49"/>
      <c r="N238" s="49"/>
      <c r="O238" s="49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ht="15.75" customHeight="1"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ht="15.75" customHeight="1"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ht="15.75" customHeight="1"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ht="15.75" customHeight="1"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ht="15.75" customHeight="1"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ht="15.75" customHeight="1"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ht="15.75" customHeight="1">
      <c r="F246" s="49"/>
      <c r="G246" s="49"/>
      <c r="H246" s="49"/>
      <c r="I246" s="49"/>
      <c r="J246" s="49"/>
      <c r="K246" s="49"/>
      <c r="L246" s="49"/>
      <c r="M246" s="49"/>
      <c r="N246" s="49"/>
      <c r="O246" s="49"/>
    </row>
    <row r="247" ht="15.75" customHeight="1">
      <c r="F247" s="49"/>
      <c r="G247" s="49"/>
      <c r="H247" s="49"/>
      <c r="I247" s="49"/>
      <c r="J247" s="49"/>
      <c r="K247" s="49"/>
      <c r="L247" s="49"/>
      <c r="M247" s="49"/>
      <c r="N247" s="49"/>
      <c r="O247" s="4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:J20 J24 J28 J32:J33 H33">
    <cfRule type="cellIs" dxfId="0" priority="1" operator="greaterThan">
      <formula>L13</formula>
    </cfRule>
  </conditionalFormatting>
  <conditionalFormatting sqref="J13 J19:J20 J24 J28 J32:J33 H33">
    <cfRule type="cellIs" dxfId="1" priority="2" operator="lessThan">
      <formula>L13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39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3"/>
      <c r="L1" s="43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339</v>
      </c>
      <c r="D2" s="42"/>
      <c r="E2" s="42"/>
      <c r="F2" s="42"/>
      <c r="G2" s="42"/>
      <c r="H2" s="42"/>
      <c r="I2" s="42"/>
      <c r="J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L3" s="16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J39</f>
        <v>12084</v>
      </c>
      <c r="L7" s="37">
        <v>11840.0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-12084</v>
      </c>
      <c r="L8" s="37">
        <v>-11840.0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79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79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340</v>
      </c>
      <c r="C19" s="43"/>
      <c r="D19" s="43"/>
      <c r="E19" s="43"/>
      <c r="F19" s="43"/>
      <c r="G19" s="43"/>
      <c r="H19" s="16"/>
      <c r="I19" s="43"/>
      <c r="J19" s="16">
        <f>Parametrar!$I$9</f>
        <v>350</v>
      </c>
      <c r="L19" s="16">
        <v>350.0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341</v>
      </c>
      <c r="C20" s="43"/>
      <c r="D20" s="43"/>
      <c r="E20" s="43"/>
      <c r="F20" s="43"/>
      <c r="H20" s="16"/>
      <c r="I20" s="43"/>
      <c r="J20" s="16">
        <f>Parametrar!$I$9</f>
        <v>350</v>
      </c>
      <c r="L20" s="16">
        <v>350.0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342</v>
      </c>
      <c r="C21" s="43"/>
      <c r="D21" s="43"/>
      <c r="E21" s="43"/>
      <c r="F21" s="43"/>
      <c r="H21" s="16"/>
      <c r="I21" s="43"/>
      <c r="J21" s="16">
        <f>Parametrar!$I$9</f>
        <v>350</v>
      </c>
      <c r="L21" s="16">
        <v>350.0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343</v>
      </c>
      <c r="C22" s="43"/>
      <c r="D22" s="43"/>
      <c r="E22" s="43"/>
      <c r="F22" s="43"/>
      <c r="H22" s="16"/>
      <c r="I22" s="43"/>
      <c r="J22" s="59">
        <v>0.0</v>
      </c>
      <c r="L22" s="16">
        <v>350.0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81" t="s">
        <v>147</v>
      </c>
      <c r="C23" s="81"/>
      <c r="D23" s="81"/>
      <c r="E23" s="81"/>
      <c r="F23" s="81"/>
      <c r="G23" s="81"/>
      <c r="H23" s="81"/>
      <c r="I23" s="81"/>
      <c r="J23" s="82">
        <f>SUM(J19:J22)</f>
        <v>1050</v>
      </c>
      <c r="K23" s="31"/>
      <c r="L23" s="82">
        <v>1400.0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52"/>
      <c r="C24" s="43"/>
      <c r="D24" s="43"/>
      <c r="E24" s="43"/>
      <c r="F24" s="43"/>
      <c r="G24" s="43"/>
      <c r="H24" s="43"/>
      <c r="I24" s="43"/>
      <c r="J24" s="73"/>
      <c r="K24" s="43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80">
        <v>6530.0</v>
      </c>
      <c r="B25" s="52" t="s">
        <v>344</v>
      </c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345</v>
      </c>
      <c r="C26" s="43"/>
      <c r="D26" s="43">
        <v>2.0</v>
      </c>
      <c r="E26" s="43" t="s">
        <v>155</v>
      </c>
      <c r="F26" s="43">
        <v>12.0</v>
      </c>
      <c r="G26" s="43" t="s">
        <v>155</v>
      </c>
      <c r="H26" s="59">
        <f>Parametrar!$I$16</f>
        <v>142.5</v>
      </c>
      <c r="I26" s="84" t="s">
        <v>119</v>
      </c>
      <c r="J26" s="16">
        <f t="shared" ref="J26:J27" si="1">D26*F26*H26</f>
        <v>3420</v>
      </c>
      <c r="K26" s="43"/>
      <c r="L26" s="16">
        <v>2376.0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106</v>
      </c>
      <c r="C27" s="43"/>
      <c r="D27" s="43">
        <v>2.0</v>
      </c>
      <c r="E27" s="43" t="s">
        <v>155</v>
      </c>
      <c r="F27" s="43">
        <v>12.0</v>
      </c>
      <c r="G27" s="43" t="s">
        <v>155</v>
      </c>
      <c r="H27" s="59">
        <f>Parametrar!$I$17</f>
        <v>213.75</v>
      </c>
      <c r="I27" s="84" t="s">
        <v>119</v>
      </c>
      <c r="J27" s="16">
        <f t="shared" si="1"/>
        <v>5130</v>
      </c>
      <c r="K27" s="43"/>
      <c r="L27" s="16">
        <v>3096.0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7.25" customHeight="1">
      <c r="A28" s="43"/>
      <c r="B28" s="81" t="s">
        <v>147</v>
      </c>
      <c r="C28" s="31"/>
      <c r="D28" s="31"/>
      <c r="E28" s="31"/>
      <c r="F28" s="31"/>
      <c r="G28" s="31"/>
      <c r="H28" s="31"/>
      <c r="I28" s="31"/>
      <c r="J28" s="82">
        <f>SUM(J26:J27)</f>
        <v>8550</v>
      </c>
      <c r="K28" s="31"/>
      <c r="L28" s="82">
        <v>5472.0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52"/>
      <c r="C29" s="43"/>
      <c r="D29" s="43"/>
      <c r="E29" s="43"/>
      <c r="F29" s="43"/>
      <c r="G29" s="43"/>
      <c r="H29" s="43"/>
      <c r="I29" s="43"/>
      <c r="J29" s="7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80">
        <v>7600.0</v>
      </c>
      <c r="B30" s="52" t="s">
        <v>157</v>
      </c>
      <c r="C30" s="43"/>
      <c r="D30" s="43"/>
      <c r="E30" s="43"/>
      <c r="F30" s="43"/>
      <c r="G30" s="43"/>
      <c r="H30" s="43"/>
      <c r="I30" s="43"/>
      <c r="J30" s="16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346</v>
      </c>
      <c r="C31" s="43"/>
      <c r="D31" s="43"/>
      <c r="E31" s="43"/>
      <c r="F31" s="43"/>
      <c r="G31" s="43"/>
      <c r="H31" s="16"/>
      <c r="I31" s="43"/>
      <c r="J31" s="16">
        <f>Parametrar!$I$8</f>
        <v>207</v>
      </c>
      <c r="L31" s="16">
        <v>414.0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347</v>
      </c>
      <c r="C32" s="43"/>
      <c r="D32" s="43"/>
      <c r="E32" s="43"/>
      <c r="F32" s="43"/>
      <c r="G32" s="43"/>
      <c r="H32" s="16"/>
      <c r="I32" s="43"/>
      <c r="J32" s="16">
        <f>Parametrar!$I$8</f>
        <v>207</v>
      </c>
      <c r="L32" s="16">
        <v>414.0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 t="s">
        <v>348</v>
      </c>
      <c r="C33" s="43"/>
      <c r="D33" s="43"/>
      <c r="E33" s="43"/>
      <c r="F33" s="43">
        <v>0.0</v>
      </c>
      <c r="G33" s="43" t="s">
        <v>118</v>
      </c>
      <c r="H33" s="16">
        <f>Parametrar!$I$8</f>
        <v>207</v>
      </c>
      <c r="I33" s="43"/>
      <c r="J33" s="16">
        <f>F33*H33</f>
        <v>0</v>
      </c>
      <c r="L33" s="16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349</v>
      </c>
      <c r="C34" s="43"/>
      <c r="D34" s="43"/>
      <c r="E34" s="43"/>
      <c r="F34" s="43"/>
      <c r="G34" s="43"/>
      <c r="H34" s="16"/>
      <c r="I34" s="43"/>
      <c r="J34" s="16">
        <f>Parametrar!$I$8</f>
        <v>207</v>
      </c>
      <c r="L34" s="16">
        <v>414.0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350</v>
      </c>
      <c r="C35" s="43"/>
      <c r="D35" s="43"/>
      <c r="E35" s="43"/>
      <c r="F35" s="43">
        <v>4.0</v>
      </c>
      <c r="G35" s="43" t="s">
        <v>155</v>
      </c>
      <c r="H35" s="16">
        <f>Parametrar!$I$8</f>
        <v>207</v>
      </c>
      <c r="I35" s="84" t="s">
        <v>119</v>
      </c>
      <c r="J35" s="16">
        <f t="shared" ref="J35:J36" si="2">F35*H35</f>
        <v>828</v>
      </c>
      <c r="L35" s="16">
        <v>1656.0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351</v>
      </c>
      <c r="C36" s="43"/>
      <c r="D36" s="43"/>
      <c r="E36" s="43"/>
      <c r="F36" s="43">
        <v>5.0</v>
      </c>
      <c r="G36" s="43" t="s">
        <v>155</v>
      </c>
      <c r="H36" s="16">
        <f>Parametrar!$I$8</f>
        <v>207</v>
      </c>
      <c r="I36" s="84" t="s">
        <v>119</v>
      </c>
      <c r="J36" s="16">
        <f t="shared" si="2"/>
        <v>1035</v>
      </c>
      <c r="L36" s="16">
        <v>2070.0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81" t="s">
        <v>147</v>
      </c>
      <c r="C37" s="31"/>
      <c r="D37" s="31"/>
      <c r="E37" s="31"/>
      <c r="F37" s="31"/>
      <c r="G37" s="31"/>
      <c r="H37" s="31"/>
      <c r="I37" s="31"/>
      <c r="J37" s="82">
        <f>SUM(J31:J36)</f>
        <v>2484</v>
      </c>
      <c r="K37" s="31"/>
      <c r="L37" s="82">
        <v>4968.0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7"/>
      <c r="B39" s="47" t="s">
        <v>4</v>
      </c>
      <c r="C39" s="47"/>
      <c r="D39" s="47"/>
      <c r="E39" s="47"/>
      <c r="F39" s="47"/>
      <c r="G39" s="47"/>
      <c r="H39" s="47"/>
      <c r="I39" s="47"/>
      <c r="J39" s="57">
        <f>SUM(J13:J38)/2</f>
        <v>12084</v>
      </c>
      <c r="K39" s="79"/>
      <c r="L39" s="57">
        <v>11840.0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7"/>
      <c r="B41" s="47" t="s">
        <v>5</v>
      </c>
      <c r="C41" s="47"/>
      <c r="D41" s="47"/>
      <c r="E41" s="47"/>
      <c r="F41" s="47"/>
      <c r="G41" s="47"/>
      <c r="H41" s="47"/>
      <c r="I41" s="47"/>
      <c r="J41" s="57">
        <f>J12-J39</f>
        <v>-12084</v>
      </c>
      <c r="K41" s="79"/>
      <c r="L41" s="57">
        <v>-11840.0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:J22 J26:J27 J31:J36">
    <cfRule type="cellIs" dxfId="0" priority="1" operator="greaterThan">
      <formula>L15</formula>
    </cfRule>
  </conditionalFormatting>
  <conditionalFormatting sqref="J15 J19:J22 J26:J27 J31:J36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6.5"/>
    <col customWidth="1" min="5" max="5" width="1.88"/>
    <col customWidth="1" min="6" max="6" width="2.0"/>
    <col customWidth="1" min="7" max="7" width="1.88"/>
    <col customWidth="1" min="8" max="8" width="10.13"/>
    <col customWidth="1" min="9" max="9" width="1.88"/>
    <col customWidth="1" min="10" max="10" width="16.88"/>
    <col customWidth="1" min="12" max="12" width="16.88"/>
  </cols>
  <sheetData>
    <row r="1" ht="15.75" customHeight="1">
      <c r="A1" s="40" t="s">
        <v>40</v>
      </c>
      <c r="B1" s="40" t="s">
        <v>352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41" t="s">
        <v>353</v>
      </c>
      <c r="D2" s="2"/>
      <c r="E2" s="2"/>
      <c r="F2" s="2"/>
      <c r="G2" s="2"/>
      <c r="H2" s="2"/>
      <c r="I2" s="2"/>
      <c r="J2" s="2"/>
      <c r="L2" s="2"/>
    </row>
    <row r="3" ht="15.75" customHeight="1">
      <c r="A3" s="10"/>
      <c r="B3" s="10"/>
      <c r="C3" s="2"/>
      <c r="D3" s="2"/>
      <c r="E3" s="2"/>
      <c r="F3" s="2"/>
      <c r="G3" s="2"/>
      <c r="H3" s="2"/>
      <c r="I3" s="2"/>
      <c r="J3" s="37"/>
      <c r="K3" s="2"/>
      <c r="L3" s="37"/>
    </row>
    <row r="4" ht="15.75" customHeight="1">
      <c r="A4" s="78"/>
      <c r="B4" s="78"/>
      <c r="C4" s="63"/>
      <c r="D4" s="63"/>
      <c r="E4" s="63"/>
      <c r="F4" s="63"/>
      <c r="G4" s="63"/>
      <c r="H4" s="63"/>
      <c r="I4" s="63"/>
      <c r="J4" s="46" t="s">
        <v>1</v>
      </c>
      <c r="K4" s="63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2"/>
      <c r="D5" s="2"/>
      <c r="E5" s="2"/>
      <c r="F5" s="2"/>
      <c r="G5" s="2"/>
      <c r="H5" s="2"/>
      <c r="I5" s="2"/>
      <c r="J5" s="37"/>
      <c r="K5" s="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2"/>
      <c r="D6" s="2"/>
      <c r="E6" s="2"/>
      <c r="F6" s="2"/>
      <c r="G6" s="2"/>
      <c r="H6" s="2"/>
      <c r="I6" s="2"/>
      <c r="J6" s="37">
        <f>J44</f>
        <v>575025</v>
      </c>
      <c r="K6" s="2"/>
      <c r="L6" s="37">
        <v>600235.0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2"/>
      <c r="D7" s="2"/>
      <c r="E7" s="2"/>
      <c r="F7" s="2"/>
      <c r="G7" s="2"/>
      <c r="H7" s="2"/>
      <c r="I7" s="2"/>
      <c r="J7" s="37">
        <f>J68</f>
        <v>319525</v>
      </c>
      <c r="K7" s="2"/>
      <c r="L7" s="37">
        <v>275535.0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2"/>
      <c r="D8" s="2"/>
      <c r="E8" s="2"/>
      <c r="F8" s="2"/>
      <c r="G8" s="2"/>
      <c r="H8" s="2"/>
      <c r="I8" s="2"/>
      <c r="J8" s="37">
        <f>J6-J7</f>
        <v>255500</v>
      </c>
      <c r="K8" s="2"/>
      <c r="L8" s="37">
        <v>324700.0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J11" s="16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B12" s="43" t="s">
        <v>354</v>
      </c>
      <c r="D12" s="54">
        <v>5.0</v>
      </c>
      <c r="J12" s="16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B13" s="43" t="s">
        <v>355</v>
      </c>
      <c r="D13" s="54">
        <v>3.0</v>
      </c>
      <c r="J13" s="16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B14" s="43" t="s">
        <v>356</v>
      </c>
      <c r="D14" s="16">
        <v>7500.0</v>
      </c>
      <c r="J14" s="16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B15" s="43" t="s">
        <v>357</v>
      </c>
      <c r="D15" s="16">
        <v>8000.0</v>
      </c>
      <c r="J15" s="16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B16" s="43" t="s">
        <v>358</v>
      </c>
      <c r="D16" s="16">
        <v>1000.0</v>
      </c>
      <c r="J16" s="16"/>
      <c r="L16" s="16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J17" s="16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3000.0</v>
      </c>
      <c r="B18" s="52" t="s">
        <v>172</v>
      </c>
      <c r="C18" s="52"/>
      <c r="D18" s="52"/>
      <c r="E18" s="52"/>
      <c r="F18" s="52"/>
      <c r="G18" s="52"/>
      <c r="H18" s="52"/>
      <c r="I18" s="52"/>
      <c r="J18" s="94" t="s">
        <v>359</v>
      </c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B19" s="103" t="s">
        <v>360</v>
      </c>
      <c r="F19" s="43"/>
      <c r="G19" s="43"/>
      <c r="H19" s="16"/>
      <c r="I19" s="43"/>
      <c r="J19" s="16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B20" s="43" t="s">
        <v>101</v>
      </c>
      <c r="F20" s="43">
        <f t="shared" ref="F20:F23" si="1">D$12</f>
        <v>5</v>
      </c>
      <c r="G20" s="43" t="s">
        <v>155</v>
      </c>
      <c r="H20" s="16">
        <f t="shared" ref="H20:H21" si="2">D15</f>
        <v>8000</v>
      </c>
      <c r="I20" s="84" t="s">
        <v>119</v>
      </c>
      <c r="J20" s="16">
        <f t="shared" ref="J20:J23" si="3">F20*H20</f>
        <v>40000</v>
      </c>
      <c r="L20" s="16">
        <v>56000.0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B21" s="43" t="s">
        <v>251</v>
      </c>
      <c r="F21" s="43">
        <f t="shared" si="1"/>
        <v>5</v>
      </c>
      <c r="G21" s="43" t="s">
        <v>155</v>
      </c>
      <c r="H21" s="16">
        <f t="shared" si="2"/>
        <v>1000</v>
      </c>
      <c r="I21" s="84" t="s">
        <v>119</v>
      </c>
      <c r="J21" s="16">
        <f t="shared" si="3"/>
        <v>5000</v>
      </c>
      <c r="L21" s="16">
        <v>7000.0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B22" s="43" t="s">
        <v>361</v>
      </c>
      <c r="F22" s="43">
        <f t="shared" si="1"/>
        <v>5</v>
      </c>
      <c r="G22" s="43" t="s">
        <v>155</v>
      </c>
      <c r="H22" s="16">
        <v>1505.0</v>
      </c>
      <c r="I22" s="84" t="s">
        <v>119</v>
      </c>
      <c r="J22" s="16">
        <f t="shared" si="3"/>
        <v>7525</v>
      </c>
      <c r="L22" s="16">
        <v>10535.0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B23" s="43" t="s">
        <v>362</v>
      </c>
      <c r="F23" s="43">
        <f t="shared" si="1"/>
        <v>5</v>
      </c>
      <c r="G23" s="43" t="s">
        <v>155</v>
      </c>
      <c r="H23" s="16">
        <v>15100.0</v>
      </c>
      <c r="I23" s="84" t="s">
        <v>119</v>
      </c>
      <c r="J23" s="16">
        <f t="shared" si="3"/>
        <v>75500</v>
      </c>
      <c r="L23" s="16">
        <v>105700.0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B24" s="43"/>
      <c r="F24" s="43"/>
      <c r="G24" s="43"/>
      <c r="H24" s="16"/>
      <c r="I24" s="43"/>
      <c r="J24" s="16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B25" s="104" t="s">
        <v>363</v>
      </c>
      <c r="C25" s="2"/>
      <c r="D25" s="2"/>
      <c r="E25" s="2"/>
      <c r="F25" s="2"/>
      <c r="G25" s="2"/>
      <c r="H25" s="9"/>
      <c r="I25" s="2"/>
      <c r="J25" s="16"/>
      <c r="K25" s="2"/>
      <c r="L25" s="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B26" s="2" t="s">
        <v>101</v>
      </c>
      <c r="C26" s="2"/>
      <c r="D26" s="2"/>
      <c r="E26" s="2"/>
      <c r="F26" s="14">
        <f t="shared" ref="F26:F27" si="4">D$13</f>
        <v>3</v>
      </c>
      <c r="G26" s="2" t="s">
        <v>155</v>
      </c>
      <c r="H26" s="11">
        <v>7500.0</v>
      </c>
      <c r="I26" s="105" t="s">
        <v>119</v>
      </c>
      <c r="J26" s="16">
        <f t="shared" ref="J26:J27" si="5">F26*H26</f>
        <v>22500</v>
      </c>
      <c r="K26" s="2"/>
      <c r="L26" s="11">
        <v>15000.0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B27" s="2" t="s">
        <v>362</v>
      </c>
      <c r="C27" s="2"/>
      <c r="D27" s="2"/>
      <c r="E27" s="2"/>
      <c r="F27" s="14">
        <f t="shared" si="4"/>
        <v>3</v>
      </c>
      <c r="G27" s="2" t="s">
        <v>155</v>
      </c>
      <c r="H27" s="11">
        <v>19000.0</v>
      </c>
      <c r="I27" s="105" t="s">
        <v>119</v>
      </c>
      <c r="J27" s="16">
        <f t="shared" si="5"/>
        <v>57000</v>
      </c>
      <c r="K27" s="2"/>
      <c r="L27" s="11">
        <v>38000.0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B28" s="43"/>
      <c r="F28" s="43"/>
      <c r="G28" s="43"/>
      <c r="H28" s="16"/>
      <c r="I28" s="43"/>
      <c r="J28" s="16"/>
      <c r="L28" s="16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B29" s="103" t="s">
        <v>364</v>
      </c>
      <c r="J29" s="16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B30" s="43" t="s">
        <v>365</v>
      </c>
      <c r="F30" s="43"/>
      <c r="H30" s="16"/>
      <c r="I30" s="43"/>
      <c r="J30" s="16">
        <v>35000.0</v>
      </c>
      <c r="L30" s="16">
        <v>35000.0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B31" s="43" t="s">
        <v>366</v>
      </c>
      <c r="F31" s="43"/>
      <c r="H31" s="16"/>
      <c r="I31" s="43"/>
      <c r="J31" s="16">
        <v>25000.0</v>
      </c>
      <c r="L31" s="16">
        <v>25000.0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B32" s="43" t="s">
        <v>367</v>
      </c>
      <c r="F32" s="43">
        <v>5.0</v>
      </c>
      <c r="G32" s="2" t="s">
        <v>155</v>
      </c>
      <c r="H32" s="59">
        <v>27500.0</v>
      </c>
      <c r="I32" s="84" t="s">
        <v>119</v>
      </c>
      <c r="J32" s="16">
        <f t="shared" ref="J32:J33" si="6">F32*H32</f>
        <v>137500</v>
      </c>
      <c r="L32" s="16">
        <v>125000.0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B33" s="43" t="s">
        <v>368</v>
      </c>
      <c r="F33" s="43">
        <v>2.0</v>
      </c>
      <c r="G33" s="2" t="s">
        <v>155</v>
      </c>
      <c r="H33" s="59">
        <v>32500.0</v>
      </c>
      <c r="I33" s="84" t="s">
        <v>119</v>
      </c>
      <c r="J33" s="16">
        <f t="shared" si="6"/>
        <v>65000</v>
      </c>
      <c r="L33" s="16">
        <v>60000.0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B34" s="43" t="s">
        <v>369</v>
      </c>
      <c r="J34" s="16">
        <v>70000.0</v>
      </c>
      <c r="L34" s="16">
        <v>70000.0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B35" s="43" t="s">
        <v>370</v>
      </c>
      <c r="J35" s="16">
        <v>0.0</v>
      </c>
      <c r="L35" s="16">
        <v>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B36" s="43"/>
      <c r="F36" s="43"/>
      <c r="H36" s="16"/>
      <c r="I36" s="43"/>
      <c r="J36" s="16"/>
      <c r="L36" s="16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B37" s="103" t="s">
        <v>215</v>
      </c>
      <c r="F37" s="43"/>
      <c r="H37" s="16"/>
      <c r="I37" s="43"/>
      <c r="J37" s="16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B38" s="43" t="s">
        <v>371</v>
      </c>
      <c r="F38" s="43"/>
      <c r="H38" s="16"/>
      <c r="I38" s="43"/>
      <c r="J38" s="16">
        <v>5000.0</v>
      </c>
      <c r="L38" s="16">
        <v>5000.0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B39" s="43" t="s">
        <v>372</v>
      </c>
      <c r="F39" s="43"/>
      <c r="H39" s="16"/>
      <c r="I39" s="43"/>
      <c r="J39" s="59">
        <v>10000.0</v>
      </c>
      <c r="L39" s="16">
        <v>43000.0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B40" s="43" t="s">
        <v>207</v>
      </c>
      <c r="F40" s="43"/>
      <c r="H40" s="16"/>
      <c r="I40" s="43"/>
      <c r="J40" s="16">
        <v>20000.0</v>
      </c>
      <c r="L40" s="16">
        <v>20000.0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B41" s="43" t="s">
        <v>373</v>
      </c>
      <c r="F41" s="43"/>
      <c r="G41" s="43"/>
      <c r="H41" s="16"/>
      <c r="I41" s="43"/>
      <c r="J41" s="16">
        <v>0.0</v>
      </c>
      <c r="L41" s="16">
        <v>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B42" s="81" t="s">
        <v>147</v>
      </c>
      <c r="C42" s="81"/>
      <c r="D42" s="81"/>
      <c r="E42" s="81"/>
      <c r="F42" s="81"/>
      <c r="G42" s="81"/>
      <c r="H42" s="81"/>
      <c r="I42" s="81"/>
      <c r="J42" s="82">
        <f>SUM(J20:J41)</f>
        <v>575025</v>
      </c>
      <c r="K42" s="81"/>
      <c r="L42" s="82">
        <f>SUM(L20:L41)</f>
        <v>615235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J43" s="16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7"/>
      <c r="B44" s="47" t="s">
        <v>3</v>
      </c>
      <c r="C44" s="47"/>
      <c r="D44" s="47"/>
      <c r="E44" s="47"/>
      <c r="F44" s="47"/>
      <c r="G44" s="47"/>
      <c r="H44" s="47"/>
      <c r="I44" s="47"/>
      <c r="J44" s="93">
        <f>SUM(J20:J43)/2</f>
        <v>575025</v>
      </c>
      <c r="K44" s="47"/>
      <c r="L44" s="93">
        <f>SUM(L20:L43)/2</f>
        <v>615235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49"/>
      <c r="Z44" s="49"/>
    </row>
    <row r="45" ht="15.75" customHeight="1">
      <c r="J45" s="16"/>
      <c r="L45" s="16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80">
        <v>4310.0</v>
      </c>
      <c r="B46" s="52" t="s">
        <v>177</v>
      </c>
      <c r="J46" s="16"/>
      <c r="L46" s="16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B47" s="43" t="s">
        <v>374</v>
      </c>
      <c r="F47" s="43">
        <f t="shared" ref="F47:F48" si="7">D$12</f>
        <v>5</v>
      </c>
      <c r="G47" s="2" t="s">
        <v>155</v>
      </c>
      <c r="H47" s="16">
        <f t="shared" ref="H47:H48" si="8">D15</f>
        <v>8000</v>
      </c>
      <c r="I47" s="84" t="s">
        <v>119</v>
      </c>
      <c r="J47" s="16">
        <f t="shared" ref="J47:J48" si="9">F47*H47</f>
        <v>40000</v>
      </c>
      <c r="L47" s="16">
        <v>56000.0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B48" s="43" t="s">
        <v>375</v>
      </c>
      <c r="F48" s="43">
        <f t="shared" si="7"/>
        <v>5</v>
      </c>
      <c r="G48" s="2" t="s">
        <v>155</v>
      </c>
      <c r="H48" s="16">
        <f t="shared" si="8"/>
        <v>1000</v>
      </c>
      <c r="I48" s="84" t="s">
        <v>119</v>
      </c>
      <c r="J48" s="16">
        <f t="shared" si="9"/>
        <v>5000</v>
      </c>
      <c r="L48" s="16">
        <v>7000.0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B49" s="43" t="s">
        <v>207</v>
      </c>
      <c r="J49" s="16">
        <v>2000.0</v>
      </c>
      <c r="L49" s="16">
        <v>2000.0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B50" s="81" t="s">
        <v>147</v>
      </c>
      <c r="C50" s="31"/>
      <c r="D50" s="31"/>
      <c r="E50" s="31"/>
      <c r="F50" s="31"/>
      <c r="G50" s="31"/>
      <c r="H50" s="31"/>
      <c r="I50" s="31"/>
      <c r="J50" s="82">
        <f>SUM(J47:J49)</f>
        <v>47000</v>
      </c>
      <c r="K50" s="31"/>
      <c r="L50" s="82">
        <v>65000.0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B51" s="52"/>
      <c r="J51" s="73"/>
      <c r="L51" s="7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80">
        <v>4320.0</v>
      </c>
      <c r="B52" s="52" t="s">
        <v>376</v>
      </c>
      <c r="J52" s="16"/>
      <c r="L52" s="16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B53" s="43" t="s">
        <v>377</v>
      </c>
      <c r="F53" s="43"/>
      <c r="G53" s="43"/>
      <c r="H53" s="16"/>
      <c r="I53" s="43"/>
      <c r="J53" s="16">
        <v>85000.0</v>
      </c>
      <c r="L53" s="16">
        <v>85000.0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B54" s="43" t="s">
        <v>369</v>
      </c>
      <c r="F54" s="43"/>
      <c r="G54" s="43"/>
      <c r="H54" s="16"/>
      <c r="I54" s="43"/>
      <c r="J54" s="59">
        <v>70000.0</v>
      </c>
      <c r="L54" s="16">
        <v>65000.0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B55" s="43" t="s">
        <v>370</v>
      </c>
      <c r="F55" s="43"/>
      <c r="G55" s="43"/>
      <c r="H55" s="16"/>
      <c r="I55" s="43"/>
      <c r="J55" s="16">
        <v>0.0</v>
      </c>
      <c r="L55" s="16">
        <v>0.0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B56" s="43" t="s">
        <v>378</v>
      </c>
      <c r="C56" s="43"/>
      <c r="D56" s="43"/>
      <c r="E56" s="43"/>
      <c r="F56" s="43"/>
      <c r="G56" s="2"/>
      <c r="H56" s="16"/>
      <c r="I56" s="43"/>
      <c r="J56" s="16">
        <v>25000.0</v>
      </c>
      <c r="K56" s="16"/>
      <c r="L56" s="59">
        <v>0.0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B57" s="43" t="s">
        <v>379</v>
      </c>
      <c r="C57" s="43"/>
      <c r="D57" s="43"/>
      <c r="E57" s="43"/>
      <c r="F57" s="43"/>
      <c r="G57" s="2"/>
      <c r="H57" s="16"/>
      <c r="I57" s="43"/>
      <c r="J57" s="16">
        <v>35000.0</v>
      </c>
      <c r="K57" s="16"/>
      <c r="L57" s="59">
        <v>0.0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B58" s="81" t="s">
        <v>147</v>
      </c>
      <c r="C58" s="31"/>
      <c r="D58" s="31"/>
      <c r="E58" s="31"/>
      <c r="F58" s="31"/>
      <c r="G58" s="31"/>
      <c r="H58" s="31"/>
      <c r="I58" s="31"/>
      <c r="J58" s="82">
        <f>SUM(J53:J57)</f>
        <v>215000</v>
      </c>
      <c r="K58" s="31"/>
      <c r="L58" s="82">
        <v>150000.0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J59" s="16"/>
      <c r="L59" s="16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80">
        <v>4730.0</v>
      </c>
      <c r="B60" s="52" t="s">
        <v>380</v>
      </c>
      <c r="J60" s="16"/>
      <c r="L60" s="16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B61" s="43" t="s">
        <v>381</v>
      </c>
      <c r="J61" s="16">
        <v>50000.0</v>
      </c>
      <c r="L61" s="16">
        <v>50000.0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B62" s="81" t="s">
        <v>147</v>
      </c>
      <c r="C62" s="31"/>
      <c r="D62" s="31"/>
      <c r="E62" s="31"/>
      <c r="F62" s="31"/>
      <c r="G62" s="31"/>
      <c r="H62" s="31"/>
      <c r="I62" s="31"/>
      <c r="J62" s="82">
        <f>SUM(J61)</f>
        <v>50000</v>
      </c>
      <c r="K62" s="31"/>
      <c r="L62" s="82">
        <v>50000.0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B63" s="52"/>
      <c r="J63" s="73"/>
      <c r="L63" s="73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80">
        <v>5010.0</v>
      </c>
      <c r="B64" s="52" t="s">
        <v>382</v>
      </c>
      <c r="C64" s="52"/>
      <c r="D64" s="52"/>
      <c r="E64" s="52"/>
      <c r="F64" s="52"/>
      <c r="G64" s="52"/>
      <c r="H64" s="52"/>
      <c r="I64" s="52"/>
      <c r="J64" s="73"/>
      <c r="K64" s="52"/>
      <c r="L64" s="73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B65" s="43" t="s">
        <v>383</v>
      </c>
      <c r="F65" s="43">
        <f>D$12</f>
        <v>5</v>
      </c>
      <c r="G65" s="2" t="s">
        <v>155</v>
      </c>
      <c r="H65" s="16">
        <f>H22</f>
        <v>1505</v>
      </c>
      <c r="I65" s="84" t="s">
        <v>119</v>
      </c>
      <c r="J65" s="16">
        <f>J22</f>
        <v>7525</v>
      </c>
      <c r="L65" s="16">
        <v>10535.0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B66" s="81" t="s">
        <v>147</v>
      </c>
      <c r="C66" s="81"/>
      <c r="D66" s="81"/>
      <c r="E66" s="81"/>
      <c r="F66" s="81"/>
      <c r="G66" s="81"/>
      <c r="H66" s="81"/>
      <c r="I66" s="81"/>
      <c r="J66" s="82">
        <f>SUM(J65)</f>
        <v>7525</v>
      </c>
      <c r="K66" s="81"/>
      <c r="L66" s="82">
        <v>10535.0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J67" s="16"/>
      <c r="L67" s="16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7"/>
      <c r="B68" s="47" t="s">
        <v>4</v>
      </c>
      <c r="C68" s="47"/>
      <c r="D68" s="47"/>
      <c r="E68" s="47"/>
      <c r="F68" s="47"/>
      <c r="G68" s="47"/>
      <c r="H68" s="47"/>
      <c r="I68" s="47"/>
      <c r="J68" s="57">
        <f>SUM(J45:J67)/2</f>
        <v>319525</v>
      </c>
      <c r="K68" s="47"/>
      <c r="L68" s="57">
        <f>SUM(L45:L67)/2</f>
        <v>275535</v>
      </c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49"/>
      <c r="Z68" s="49"/>
    </row>
    <row r="69" ht="15.75" customHeight="1">
      <c r="J69" s="16"/>
      <c r="L69" s="16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7"/>
      <c r="B70" s="47" t="s">
        <v>5</v>
      </c>
      <c r="C70" s="47"/>
      <c r="D70" s="47"/>
      <c r="E70" s="47"/>
      <c r="F70" s="47"/>
      <c r="G70" s="47"/>
      <c r="H70" s="47"/>
      <c r="I70" s="47"/>
      <c r="J70" s="57">
        <f>J44-J68</f>
        <v>255500</v>
      </c>
      <c r="K70" s="47"/>
      <c r="L70" s="57">
        <v>324700.0</v>
      </c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49"/>
      <c r="Z70" s="49"/>
    </row>
    <row r="71" ht="15.75" customHeight="1"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2:C2"/>
    <mergeCell ref="A6:B6"/>
    <mergeCell ref="A7:B7"/>
    <mergeCell ref="A8:B8"/>
  </mergeCells>
  <conditionalFormatting sqref="J56:J57">
    <cfRule type="cellIs" dxfId="0" priority="1" operator="greaterThan">
      <formula>L56</formula>
    </cfRule>
  </conditionalFormatting>
  <conditionalFormatting sqref="J56:J57">
    <cfRule type="cellIs" dxfId="1" priority="2" operator="lessThan">
      <formula>L56</formula>
    </cfRule>
  </conditionalFormatting>
  <conditionalFormatting sqref="J20:J41 J47:J49 J53:J55 J61 J65">
    <cfRule type="cellIs" dxfId="0" priority="3" operator="greaterThan">
      <formula>L20</formula>
    </cfRule>
  </conditionalFormatting>
  <conditionalFormatting sqref="J20:J41 J47:J49 J53:J55 J61 J65">
    <cfRule type="cellIs" dxfId="1" priority="4" operator="lessThan">
      <formula>L20</formula>
    </cfRule>
  </conditionalFormatting>
  <conditionalFormatting sqref="J8 L8">
    <cfRule type="cellIs" dxfId="0" priority="5" operator="greaterThan">
      <formula>0</formula>
    </cfRule>
  </conditionalFormatting>
  <conditionalFormatting sqref="J8 L8">
    <cfRule type="cellIs" dxfId="2" priority="6" operator="equal">
      <formula>0</formula>
    </cfRule>
  </conditionalFormatting>
  <conditionalFormatting sqref="J8 L8">
    <cfRule type="cellIs" dxfId="0" priority="7" operator="greaterThanOrEqual">
      <formula>0</formula>
    </cfRule>
  </conditionalFormatting>
  <conditionalFormatting sqref="J8 L8">
    <cfRule type="cellIs" dxfId="1" priority="8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6.88"/>
  </cols>
  <sheetData>
    <row r="1" ht="15.75" customHeight="1">
      <c r="A1" s="40" t="s">
        <v>41</v>
      </c>
      <c r="B1" s="40" t="s">
        <v>384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385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30250</v>
      </c>
      <c r="K6" s="42"/>
      <c r="L6" s="37">
        <v>30250.0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J26</f>
        <v>27000</v>
      </c>
      <c r="K7" s="42"/>
      <c r="L7" s="37">
        <v>27000.0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3250</v>
      </c>
      <c r="K8" s="42"/>
      <c r="L8" s="37">
        <v>3250.0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3015.0</v>
      </c>
      <c r="B12" s="52" t="s">
        <v>175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175</v>
      </c>
      <c r="C13" s="43"/>
      <c r="D13" s="43"/>
      <c r="E13" s="43"/>
      <c r="F13" s="43"/>
      <c r="G13" s="43"/>
      <c r="H13" s="43"/>
      <c r="I13" s="43"/>
      <c r="J13" s="16">
        <v>30250.0</v>
      </c>
      <c r="K13" s="43"/>
      <c r="L13" s="16">
        <v>30250.0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31"/>
      <c r="D14" s="31"/>
      <c r="E14" s="31"/>
      <c r="F14" s="31"/>
      <c r="G14" s="31"/>
      <c r="H14" s="31"/>
      <c r="I14" s="31"/>
      <c r="J14" s="82">
        <f>SUM(J13)</f>
        <v>30250</v>
      </c>
      <c r="K14" s="31"/>
      <c r="L14" s="82">
        <v>30250.0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30250</v>
      </c>
      <c r="K16" s="47"/>
      <c r="L16" s="57">
        <v>30250.0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4002.0</v>
      </c>
      <c r="B18" s="52" t="s">
        <v>145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146</v>
      </c>
      <c r="C19" s="43"/>
      <c r="D19" s="43"/>
      <c r="E19" s="43"/>
      <c r="F19" s="43"/>
      <c r="G19" s="43"/>
      <c r="H19" s="43"/>
      <c r="I19" s="43"/>
      <c r="J19" s="16">
        <v>0.0</v>
      </c>
      <c r="K19" s="43"/>
      <c r="L19" s="16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31"/>
      <c r="D20" s="31"/>
      <c r="E20" s="31"/>
      <c r="F20" s="31"/>
      <c r="G20" s="31"/>
      <c r="H20" s="31"/>
      <c r="I20" s="31"/>
      <c r="J20" s="82">
        <f>SUM(J19)</f>
        <v>0</v>
      </c>
      <c r="K20" s="31"/>
      <c r="L20" s="82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4310.0</v>
      </c>
      <c r="B22" s="52" t="s">
        <v>177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386</v>
      </c>
      <c r="C23" s="43"/>
      <c r="D23" s="43"/>
      <c r="E23" s="43"/>
      <c r="F23" s="43"/>
      <c r="G23" s="43"/>
      <c r="H23" s="43"/>
      <c r="I23" s="43"/>
      <c r="J23" s="16">
        <v>27000.0</v>
      </c>
      <c r="K23" s="43"/>
      <c r="L23" s="16">
        <v>27000.0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81" t="s">
        <v>147</v>
      </c>
      <c r="C24" s="31"/>
      <c r="D24" s="31"/>
      <c r="E24" s="31"/>
      <c r="F24" s="31"/>
      <c r="G24" s="31"/>
      <c r="H24" s="31"/>
      <c r="I24" s="31"/>
      <c r="J24" s="82">
        <f>SUM(J23)</f>
        <v>27000</v>
      </c>
      <c r="K24" s="31"/>
      <c r="L24" s="82">
        <v>27000.0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7"/>
      <c r="B26" s="47" t="s">
        <v>4</v>
      </c>
      <c r="C26" s="47"/>
      <c r="D26" s="47"/>
      <c r="E26" s="47"/>
      <c r="F26" s="47"/>
      <c r="G26" s="47"/>
      <c r="H26" s="47"/>
      <c r="I26" s="47"/>
      <c r="J26" s="57">
        <f>SUM(J17:J25)/2</f>
        <v>27000</v>
      </c>
      <c r="K26" s="47"/>
      <c r="L26" s="57">
        <v>27000.0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7"/>
      <c r="B28" s="47" t="s">
        <v>5</v>
      </c>
      <c r="C28" s="47"/>
      <c r="D28" s="47"/>
      <c r="E28" s="47"/>
      <c r="F28" s="47"/>
      <c r="G28" s="47"/>
      <c r="H28" s="47"/>
      <c r="I28" s="47"/>
      <c r="J28" s="57">
        <f>J16-J26</f>
        <v>3250</v>
      </c>
      <c r="K28" s="47"/>
      <c r="L28" s="57">
        <v>3250.0</v>
      </c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49"/>
      <c r="Z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 J23">
    <cfRule type="cellIs" dxfId="0" priority="1" operator="greaterThan">
      <formula>L13</formula>
    </cfRule>
  </conditionalFormatting>
  <conditionalFormatting sqref="J13 J19 J23">
    <cfRule type="cellIs" dxfId="1" priority="2" operator="lessThan">
      <formula>L13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44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387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10000</v>
      </c>
      <c r="K6" s="42"/>
      <c r="L6" s="37">
        <v>10000.0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J47</f>
        <v>45519</v>
      </c>
      <c r="K7" s="42"/>
      <c r="L7" s="37">
        <v>69868.0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-35519</v>
      </c>
      <c r="K8" s="42"/>
      <c r="L8" s="37">
        <v>-59868.0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3015.0</v>
      </c>
      <c r="B12" s="52" t="s">
        <v>388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389</v>
      </c>
      <c r="C13" s="43"/>
      <c r="D13" s="43"/>
      <c r="E13" s="43"/>
      <c r="F13" s="43"/>
      <c r="G13" s="43"/>
      <c r="H13" s="43"/>
      <c r="I13" s="43"/>
      <c r="J13" s="16">
        <v>10000.0</v>
      </c>
      <c r="K13" s="43"/>
      <c r="L13" s="16">
        <v>10000.0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31"/>
      <c r="D14" s="31"/>
      <c r="E14" s="31"/>
      <c r="F14" s="31"/>
      <c r="G14" s="31"/>
      <c r="H14" s="31"/>
      <c r="I14" s="31"/>
      <c r="J14" s="82">
        <f>SUM(J13)</f>
        <v>10000</v>
      </c>
      <c r="K14" s="31"/>
      <c r="L14" s="82">
        <v>10000.0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10000</v>
      </c>
      <c r="K16" s="47"/>
      <c r="L16" s="57">
        <v>10000.0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4002.0</v>
      </c>
      <c r="B18" s="52" t="s">
        <v>145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146</v>
      </c>
      <c r="C19" s="43"/>
      <c r="D19" s="43"/>
      <c r="E19" s="43"/>
      <c r="F19" s="43"/>
      <c r="G19" s="43"/>
      <c r="H19" s="43"/>
      <c r="I19" s="43"/>
      <c r="J19" s="16">
        <v>0.0</v>
      </c>
      <c r="K19" s="43"/>
      <c r="L19" s="16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31"/>
      <c r="D20" s="31"/>
      <c r="E20" s="31"/>
      <c r="F20" s="31"/>
      <c r="G20" s="31"/>
      <c r="H20" s="31"/>
      <c r="I20" s="31"/>
      <c r="J20" s="82">
        <f>SUM(J19)</f>
        <v>0</v>
      </c>
      <c r="K20" s="31"/>
      <c r="L20" s="82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4310.0</v>
      </c>
      <c r="B22" s="52" t="s">
        <v>177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390</v>
      </c>
      <c r="C23" s="43"/>
      <c r="D23" s="43"/>
      <c r="E23" s="43"/>
      <c r="F23" s="43">
        <v>11.0</v>
      </c>
      <c r="G23" s="2" t="s">
        <v>155</v>
      </c>
      <c r="H23" s="43">
        <v>2000.0</v>
      </c>
      <c r="I23" s="84" t="s">
        <v>119</v>
      </c>
      <c r="J23" s="16">
        <f>F23*H23</f>
        <v>22000</v>
      </c>
      <c r="K23" s="43"/>
      <c r="L23" s="16">
        <v>22000.0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389</v>
      </c>
      <c r="C24" s="43"/>
      <c r="D24" s="43"/>
      <c r="E24" s="43"/>
      <c r="F24" s="43"/>
      <c r="G24" s="43"/>
      <c r="H24" s="43"/>
      <c r="I24" s="43"/>
      <c r="J24" s="16">
        <v>10000.0</v>
      </c>
      <c r="K24" s="43"/>
      <c r="L24" s="16">
        <v>10000.0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SUM(J23:J24)</f>
        <v>32000</v>
      </c>
      <c r="K25" s="31"/>
      <c r="L25" s="82">
        <v>32000.0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52"/>
      <c r="C26" s="43"/>
      <c r="D26" s="43"/>
      <c r="E26" s="43"/>
      <c r="F26" s="43"/>
      <c r="G26" s="43"/>
      <c r="H26" s="43"/>
      <c r="I26" s="43"/>
      <c r="J26" s="73"/>
      <c r="K26" s="43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80">
        <v>5480.0</v>
      </c>
      <c r="B27" s="52" t="s">
        <v>148</v>
      </c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391</v>
      </c>
      <c r="C28" s="43"/>
      <c r="D28" s="43"/>
      <c r="E28" s="43"/>
      <c r="F28" s="43"/>
      <c r="G28" s="2"/>
      <c r="H28" s="16"/>
      <c r="I28" s="43"/>
      <c r="J28" s="59">
        <v>0.0</v>
      </c>
      <c r="K28" s="43"/>
      <c r="L28" s="16">
        <v>350.0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392</v>
      </c>
      <c r="C29" s="43"/>
      <c r="D29" s="43"/>
      <c r="E29" s="43"/>
      <c r="F29" s="43"/>
      <c r="G29" s="2"/>
      <c r="H29" s="16"/>
      <c r="I29" s="43"/>
      <c r="J29" s="59">
        <v>0.0</v>
      </c>
      <c r="K29" s="43"/>
      <c r="L29" s="16">
        <v>1750.0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393</v>
      </c>
      <c r="C30" s="43"/>
      <c r="D30" s="43"/>
      <c r="E30" s="43"/>
      <c r="F30" s="43"/>
      <c r="G30" s="2"/>
      <c r="H30" s="16"/>
      <c r="I30" s="43"/>
      <c r="J30" s="59">
        <v>0.0</v>
      </c>
      <c r="K30" s="43"/>
      <c r="L30" s="16">
        <v>700.0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394</v>
      </c>
      <c r="C31" s="43"/>
      <c r="D31" s="43"/>
      <c r="E31" s="43"/>
      <c r="F31" s="43"/>
      <c r="G31" s="2"/>
      <c r="H31" s="16"/>
      <c r="I31" s="43"/>
      <c r="J31" s="59">
        <v>0.0</v>
      </c>
      <c r="K31" s="43"/>
      <c r="L31" s="16">
        <v>3150.0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395</v>
      </c>
      <c r="C32" s="43"/>
      <c r="D32" s="43"/>
      <c r="E32" s="43"/>
      <c r="F32" s="43">
        <v>124.0</v>
      </c>
      <c r="G32" s="2" t="s">
        <v>155</v>
      </c>
      <c r="H32" s="59">
        <v>0.0</v>
      </c>
      <c r="I32" s="84" t="s">
        <v>119</v>
      </c>
      <c r="J32" s="16">
        <f>F32*H32</f>
        <v>0</v>
      </c>
      <c r="K32" s="43"/>
      <c r="L32" s="16">
        <v>14880.0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81" t="s">
        <v>147</v>
      </c>
      <c r="C33" s="81"/>
      <c r="D33" s="81"/>
      <c r="E33" s="81"/>
      <c r="F33" s="81"/>
      <c r="G33" s="81"/>
      <c r="H33" s="81"/>
      <c r="I33" s="81"/>
      <c r="J33" s="82">
        <f>SUM(J28:J32)</f>
        <v>0</v>
      </c>
      <c r="K33" s="81"/>
      <c r="L33" s="82">
        <v>20830.0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52"/>
      <c r="C34" s="43"/>
      <c r="D34" s="43"/>
      <c r="E34" s="43"/>
      <c r="F34" s="43"/>
      <c r="G34" s="43"/>
      <c r="H34" s="43"/>
      <c r="I34" s="43"/>
      <c r="J34" s="73"/>
      <c r="K34" s="43"/>
      <c r="L34" s="7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80">
        <v>7600.0</v>
      </c>
      <c r="B35" s="52" t="s">
        <v>157</v>
      </c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396</v>
      </c>
      <c r="C36" s="43"/>
      <c r="D36" s="43"/>
      <c r="E36" s="43"/>
      <c r="F36" s="43"/>
      <c r="G36" s="2"/>
      <c r="H36" s="16"/>
      <c r="I36" s="43"/>
      <c r="J36" s="16">
        <f>Parametrar!$I$8</f>
        <v>207</v>
      </c>
      <c r="K36" s="43"/>
      <c r="L36" s="16">
        <v>414.0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 t="s">
        <v>397</v>
      </c>
      <c r="C37" s="43"/>
      <c r="D37" s="43"/>
      <c r="E37" s="43"/>
      <c r="F37" s="43">
        <v>5.0</v>
      </c>
      <c r="G37" s="2" t="s">
        <v>155</v>
      </c>
      <c r="H37" s="16">
        <f>Parametrar!$I$8</f>
        <v>207</v>
      </c>
      <c r="I37" s="84" t="s">
        <v>119</v>
      </c>
      <c r="J37" s="16">
        <f t="shared" ref="J37:J40" si="1">F37*H37</f>
        <v>1035</v>
      </c>
      <c r="K37" s="43"/>
      <c r="L37" s="16">
        <v>2070.0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 t="s">
        <v>398</v>
      </c>
      <c r="C38" s="43"/>
      <c r="D38" s="43"/>
      <c r="E38" s="43"/>
      <c r="F38" s="43">
        <v>2.0</v>
      </c>
      <c r="G38" s="2" t="s">
        <v>155</v>
      </c>
      <c r="H38" s="16">
        <f>Parametrar!$I$8</f>
        <v>207</v>
      </c>
      <c r="I38" s="84" t="s">
        <v>119</v>
      </c>
      <c r="J38" s="16">
        <f t="shared" si="1"/>
        <v>414</v>
      </c>
      <c r="K38" s="43"/>
      <c r="L38" s="16">
        <v>828.0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399</v>
      </c>
      <c r="C39" s="43"/>
      <c r="D39" s="43"/>
      <c r="E39" s="43"/>
      <c r="F39" s="43">
        <v>9.0</v>
      </c>
      <c r="G39" s="2" t="s">
        <v>155</v>
      </c>
      <c r="H39" s="16">
        <f>Parametrar!$I$8</f>
        <v>207</v>
      </c>
      <c r="I39" s="84" t="s">
        <v>119</v>
      </c>
      <c r="J39" s="16">
        <f t="shared" si="1"/>
        <v>1863</v>
      </c>
      <c r="K39" s="43"/>
      <c r="L39" s="16">
        <v>3726.0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168</v>
      </c>
      <c r="C40" s="43"/>
      <c r="D40" s="43"/>
      <c r="E40" s="43"/>
      <c r="F40" s="43">
        <v>0.0</v>
      </c>
      <c r="G40" s="2" t="s">
        <v>155</v>
      </c>
      <c r="H40" s="16">
        <f>Parametrar!$I$8</f>
        <v>207</v>
      </c>
      <c r="I40" s="84" t="s">
        <v>119</v>
      </c>
      <c r="J40" s="16">
        <f t="shared" si="1"/>
        <v>0</v>
      </c>
      <c r="K40" s="43"/>
      <c r="L40" s="16">
        <v>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81" t="s">
        <v>147</v>
      </c>
      <c r="C41" s="31"/>
      <c r="D41" s="31"/>
      <c r="E41" s="31"/>
      <c r="F41" s="31"/>
      <c r="G41" s="31"/>
      <c r="H41" s="31"/>
      <c r="I41" s="31"/>
      <c r="J41" s="82">
        <f>SUM(J36:J40)</f>
        <v>3519</v>
      </c>
      <c r="K41" s="31"/>
      <c r="L41" s="82">
        <v>7038.0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80">
        <v>7604.0</v>
      </c>
      <c r="B43" s="52" t="s">
        <v>400</v>
      </c>
      <c r="C43" s="43"/>
      <c r="D43" s="43"/>
      <c r="E43" s="43"/>
      <c r="F43" s="43"/>
      <c r="G43" s="43"/>
      <c r="H43" s="43"/>
      <c r="I43" s="43"/>
      <c r="J43" s="16"/>
      <c r="K43" s="43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 t="s">
        <v>401</v>
      </c>
      <c r="C44" s="43"/>
      <c r="D44" s="43"/>
      <c r="E44" s="43"/>
      <c r="F44" s="43"/>
      <c r="G44" s="43"/>
      <c r="H44" s="43"/>
      <c r="I44" s="43"/>
      <c r="J44" s="59">
        <v>10000.0</v>
      </c>
      <c r="K44" s="43"/>
      <c r="L44" s="16">
        <v>10000.0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81" t="s">
        <v>147</v>
      </c>
      <c r="C45" s="31"/>
      <c r="D45" s="31"/>
      <c r="E45" s="31"/>
      <c r="F45" s="31"/>
      <c r="G45" s="31"/>
      <c r="H45" s="31"/>
      <c r="I45" s="31"/>
      <c r="J45" s="82">
        <f>SUM(J44)</f>
        <v>10000</v>
      </c>
      <c r="K45" s="31"/>
      <c r="L45" s="82">
        <v>10000.0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7"/>
      <c r="B47" s="47" t="s">
        <v>4</v>
      </c>
      <c r="C47" s="47"/>
      <c r="D47" s="47"/>
      <c r="E47" s="47"/>
      <c r="F47" s="47"/>
      <c r="G47" s="47"/>
      <c r="H47" s="47"/>
      <c r="I47" s="47"/>
      <c r="J47" s="57">
        <f>SUM(J17:J46)/2</f>
        <v>45519</v>
      </c>
      <c r="K47" s="47"/>
      <c r="L47" s="57">
        <v>69868.0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16"/>
      <c r="K48" s="43"/>
      <c r="L48" s="16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7"/>
      <c r="B49" s="47" t="s">
        <v>5</v>
      </c>
      <c r="C49" s="47"/>
      <c r="D49" s="47"/>
      <c r="E49" s="47"/>
      <c r="F49" s="47"/>
      <c r="G49" s="47"/>
      <c r="H49" s="47"/>
      <c r="I49" s="47"/>
      <c r="J49" s="57">
        <f>J16-J47</f>
        <v>-35519</v>
      </c>
      <c r="K49" s="47"/>
      <c r="L49" s="57">
        <v>-59868.0</v>
      </c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9"/>
      <c r="I193" s="49"/>
      <c r="J193" s="49"/>
      <c r="K193" s="49"/>
      <c r="L193" s="99"/>
      <c r="M193" s="49"/>
      <c r="N193" s="49"/>
      <c r="O193" s="49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9"/>
      <c r="I194" s="49"/>
      <c r="J194" s="49"/>
      <c r="K194" s="49"/>
      <c r="L194" s="99"/>
      <c r="M194" s="49"/>
      <c r="N194" s="49"/>
      <c r="O194" s="49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9"/>
      <c r="I195" s="49"/>
      <c r="J195" s="49"/>
      <c r="K195" s="49"/>
      <c r="L195" s="99"/>
      <c r="M195" s="49"/>
      <c r="N195" s="49"/>
      <c r="O195" s="49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9"/>
      <c r="I196" s="49"/>
      <c r="J196" s="49"/>
      <c r="K196" s="49"/>
      <c r="L196" s="99"/>
      <c r="M196" s="49"/>
      <c r="N196" s="49"/>
      <c r="O196" s="49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9"/>
      <c r="I197" s="49"/>
      <c r="J197" s="49"/>
      <c r="K197" s="49"/>
      <c r="L197" s="99"/>
      <c r="M197" s="49"/>
      <c r="N197" s="49"/>
      <c r="O197" s="49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9"/>
      <c r="I198" s="49"/>
      <c r="J198" s="49"/>
      <c r="K198" s="49"/>
      <c r="L198" s="99"/>
      <c r="M198" s="49"/>
      <c r="N198" s="49"/>
      <c r="O198" s="49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9"/>
      <c r="I199" s="49"/>
      <c r="J199" s="49"/>
      <c r="K199" s="49"/>
      <c r="L199" s="99"/>
      <c r="M199" s="49"/>
      <c r="N199" s="49"/>
      <c r="O199" s="49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9"/>
      <c r="I200" s="49"/>
      <c r="J200" s="49"/>
      <c r="K200" s="49"/>
      <c r="L200" s="99"/>
      <c r="M200" s="49"/>
      <c r="N200" s="49"/>
      <c r="O200" s="49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9"/>
      <c r="I201" s="49"/>
      <c r="J201" s="49"/>
      <c r="K201" s="49"/>
      <c r="L201" s="99"/>
      <c r="M201" s="49"/>
      <c r="N201" s="49"/>
      <c r="O201" s="49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9"/>
      <c r="I202" s="49"/>
      <c r="J202" s="49"/>
      <c r="K202" s="49"/>
      <c r="L202" s="99"/>
      <c r="M202" s="49"/>
      <c r="N202" s="49"/>
      <c r="O202" s="49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9"/>
      <c r="I203" s="49"/>
      <c r="J203" s="49"/>
      <c r="K203" s="49"/>
      <c r="L203" s="99"/>
      <c r="M203" s="49"/>
      <c r="N203" s="49"/>
      <c r="O203" s="49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9"/>
      <c r="I204" s="49"/>
      <c r="J204" s="49"/>
      <c r="K204" s="49"/>
      <c r="L204" s="99"/>
      <c r="M204" s="49"/>
      <c r="N204" s="49"/>
      <c r="O204" s="49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9"/>
      <c r="I205" s="49"/>
      <c r="J205" s="49"/>
      <c r="K205" s="49"/>
      <c r="L205" s="99"/>
      <c r="M205" s="49"/>
      <c r="N205" s="49"/>
      <c r="O205" s="49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9"/>
      <c r="I206" s="49"/>
      <c r="J206" s="49"/>
      <c r="K206" s="49"/>
      <c r="L206" s="99"/>
      <c r="M206" s="49"/>
      <c r="N206" s="49"/>
      <c r="O206" s="49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9"/>
      <c r="I207" s="49"/>
      <c r="J207" s="49"/>
      <c r="K207" s="49"/>
      <c r="L207" s="99"/>
      <c r="M207" s="49"/>
      <c r="N207" s="49"/>
      <c r="O207" s="49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9"/>
      <c r="I208" s="49"/>
      <c r="J208" s="49"/>
      <c r="K208" s="49"/>
      <c r="L208" s="99"/>
      <c r="M208" s="49"/>
      <c r="N208" s="49"/>
      <c r="O208" s="49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9"/>
      <c r="I209" s="49"/>
      <c r="J209" s="49"/>
      <c r="K209" s="49"/>
      <c r="L209" s="99"/>
      <c r="M209" s="49"/>
      <c r="N209" s="49"/>
      <c r="O209" s="49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9"/>
      <c r="I210" s="49"/>
      <c r="J210" s="49"/>
      <c r="K210" s="49"/>
      <c r="L210" s="99"/>
      <c r="M210" s="49"/>
      <c r="N210" s="49"/>
      <c r="O210" s="49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9"/>
      <c r="I211" s="49"/>
      <c r="J211" s="49"/>
      <c r="K211" s="49"/>
      <c r="L211" s="99"/>
      <c r="M211" s="49"/>
      <c r="N211" s="49"/>
      <c r="O211" s="49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9"/>
      <c r="I212" s="49"/>
      <c r="J212" s="49"/>
      <c r="K212" s="49"/>
      <c r="L212" s="99"/>
      <c r="M212" s="49"/>
      <c r="N212" s="49"/>
      <c r="O212" s="49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9"/>
      <c r="I213" s="49"/>
      <c r="J213" s="49"/>
      <c r="K213" s="49"/>
      <c r="L213" s="99"/>
      <c r="M213" s="49"/>
      <c r="N213" s="49"/>
      <c r="O213" s="49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9"/>
      <c r="I214" s="49"/>
      <c r="J214" s="49"/>
      <c r="K214" s="49"/>
      <c r="L214" s="99"/>
      <c r="M214" s="49"/>
      <c r="N214" s="49"/>
      <c r="O214" s="49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9"/>
      <c r="I215" s="49"/>
      <c r="J215" s="49"/>
      <c r="K215" s="49"/>
      <c r="L215" s="99"/>
      <c r="M215" s="49"/>
      <c r="N215" s="49"/>
      <c r="O215" s="49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9"/>
      <c r="I216" s="49"/>
      <c r="J216" s="49"/>
      <c r="K216" s="49"/>
      <c r="L216" s="99"/>
      <c r="M216" s="49"/>
      <c r="N216" s="49"/>
      <c r="O216" s="49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9"/>
      <c r="I217" s="49"/>
      <c r="J217" s="49"/>
      <c r="K217" s="49"/>
      <c r="L217" s="99"/>
      <c r="M217" s="49"/>
      <c r="N217" s="49"/>
      <c r="O217" s="49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9"/>
      <c r="I218" s="49"/>
      <c r="J218" s="49"/>
      <c r="K218" s="49"/>
      <c r="L218" s="99"/>
      <c r="M218" s="49"/>
      <c r="N218" s="49"/>
      <c r="O218" s="49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9"/>
      <c r="I219" s="49"/>
      <c r="J219" s="49"/>
      <c r="K219" s="49"/>
      <c r="L219" s="99"/>
      <c r="M219" s="49"/>
      <c r="N219" s="49"/>
      <c r="O219" s="49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9"/>
      <c r="I220" s="49"/>
      <c r="J220" s="49"/>
      <c r="K220" s="49"/>
      <c r="L220" s="99"/>
      <c r="M220" s="49"/>
      <c r="N220" s="49"/>
      <c r="O220" s="49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9"/>
      <c r="I221" s="49"/>
      <c r="J221" s="49"/>
      <c r="K221" s="49"/>
      <c r="L221" s="99"/>
      <c r="M221" s="49"/>
      <c r="N221" s="49"/>
      <c r="O221" s="49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9"/>
      <c r="I222" s="49"/>
      <c r="J222" s="49"/>
      <c r="K222" s="49"/>
      <c r="L222" s="99"/>
      <c r="M222" s="49"/>
      <c r="N222" s="49"/>
      <c r="O222" s="49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9"/>
      <c r="I223" s="49"/>
      <c r="J223" s="49"/>
      <c r="K223" s="49"/>
      <c r="L223" s="99"/>
      <c r="M223" s="49"/>
      <c r="N223" s="49"/>
      <c r="O223" s="49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9"/>
      <c r="I224" s="49"/>
      <c r="J224" s="49"/>
      <c r="K224" s="49"/>
      <c r="L224" s="99"/>
      <c r="M224" s="49"/>
      <c r="N224" s="49"/>
      <c r="O224" s="49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9"/>
      <c r="I225" s="49"/>
      <c r="J225" s="49"/>
      <c r="K225" s="49"/>
      <c r="L225" s="99"/>
      <c r="M225" s="49"/>
      <c r="N225" s="49"/>
      <c r="O225" s="49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9"/>
      <c r="I226" s="49"/>
      <c r="J226" s="49"/>
      <c r="K226" s="49"/>
      <c r="L226" s="99"/>
      <c r="M226" s="49"/>
      <c r="N226" s="49"/>
      <c r="O226" s="49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9"/>
      <c r="I227" s="49"/>
      <c r="J227" s="49"/>
      <c r="K227" s="49"/>
      <c r="L227" s="99"/>
      <c r="M227" s="49"/>
      <c r="N227" s="49"/>
      <c r="O227" s="49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9"/>
      <c r="I228" s="49"/>
      <c r="J228" s="49"/>
      <c r="K228" s="49"/>
      <c r="L228" s="99"/>
      <c r="M228" s="49"/>
      <c r="N228" s="49"/>
      <c r="O228" s="49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9"/>
      <c r="I229" s="49"/>
      <c r="J229" s="49"/>
      <c r="K229" s="49"/>
      <c r="L229" s="99"/>
      <c r="M229" s="49"/>
      <c r="N229" s="49"/>
      <c r="O229" s="49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9"/>
      <c r="I230" s="49"/>
      <c r="J230" s="49"/>
      <c r="K230" s="49"/>
      <c r="L230" s="99"/>
      <c r="M230" s="49"/>
      <c r="N230" s="49"/>
      <c r="O230" s="49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9"/>
      <c r="I231" s="49"/>
      <c r="J231" s="49"/>
      <c r="K231" s="49"/>
      <c r="L231" s="99"/>
      <c r="M231" s="49"/>
      <c r="N231" s="49"/>
      <c r="O231" s="49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9"/>
      <c r="I232" s="49"/>
      <c r="J232" s="49"/>
      <c r="K232" s="49"/>
      <c r="L232" s="99"/>
      <c r="M232" s="49"/>
      <c r="N232" s="49"/>
      <c r="O232" s="49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9"/>
      <c r="I233" s="49"/>
      <c r="J233" s="49"/>
      <c r="K233" s="49"/>
      <c r="L233" s="99"/>
      <c r="M233" s="49"/>
      <c r="N233" s="49"/>
      <c r="O233" s="49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9"/>
      <c r="I234" s="49"/>
      <c r="J234" s="49"/>
      <c r="K234" s="49"/>
      <c r="L234" s="99"/>
      <c r="M234" s="49"/>
      <c r="N234" s="49"/>
      <c r="O234" s="49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9"/>
      <c r="I235" s="49"/>
      <c r="J235" s="49"/>
      <c r="K235" s="49"/>
      <c r="L235" s="99"/>
      <c r="M235" s="49"/>
      <c r="N235" s="49"/>
      <c r="O235" s="49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9"/>
      <c r="I236" s="49"/>
      <c r="J236" s="49"/>
      <c r="K236" s="49"/>
      <c r="L236" s="99"/>
      <c r="M236" s="49"/>
      <c r="N236" s="49"/>
      <c r="O236" s="49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9"/>
      <c r="I237" s="49"/>
      <c r="J237" s="49"/>
      <c r="K237" s="49"/>
      <c r="L237" s="99"/>
      <c r="M237" s="49"/>
      <c r="N237" s="49"/>
      <c r="O237" s="49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9"/>
      <c r="I238" s="49"/>
      <c r="J238" s="49"/>
      <c r="K238" s="49"/>
      <c r="L238" s="99"/>
      <c r="M238" s="49"/>
      <c r="N238" s="49"/>
      <c r="O238" s="49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9"/>
      <c r="I239" s="49"/>
      <c r="J239" s="49"/>
      <c r="K239" s="49"/>
      <c r="L239" s="99"/>
      <c r="M239" s="49"/>
      <c r="N239" s="49"/>
      <c r="O239" s="49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9"/>
      <c r="I240" s="49"/>
      <c r="J240" s="49"/>
      <c r="K240" s="49"/>
      <c r="L240" s="99"/>
      <c r="M240" s="49"/>
      <c r="N240" s="49"/>
      <c r="O240" s="49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9"/>
      <c r="I241" s="49"/>
      <c r="J241" s="49"/>
      <c r="K241" s="49"/>
      <c r="L241" s="99"/>
      <c r="M241" s="49"/>
      <c r="N241" s="49"/>
      <c r="O241" s="49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9"/>
      <c r="I242" s="49"/>
      <c r="J242" s="49"/>
      <c r="K242" s="49"/>
      <c r="L242" s="99"/>
      <c r="M242" s="49"/>
      <c r="N242" s="49"/>
      <c r="O242" s="49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9"/>
      <c r="I243" s="49"/>
      <c r="J243" s="49"/>
      <c r="K243" s="49"/>
      <c r="L243" s="99"/>
      <c r="M243" s="49"/>
      <c r="N243" s="49"/>
      <c r="O243" s="49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9"/>
      <c r="I244" s="49"/>
      <c r="J244" s="49"/>
      <c r="K244" s="49"/>
      <c r="L244" s="99"/>
      <c r="M244" s="49"/>
      <c r="N244" s="49"/>
      <c r="O244" s="49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9"/>
      <c r="I245" s="49"/>
      <c r="J245" s="49"/>
      <c r="K245" s="49"/>
      <c r="L245" s="99"/>
      <c r="M245" s="49"/>
      <c r="N245" s="49"/>
      <c r="O245" s="49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9"/>
      <c r="I246" s="49"/>
      <c r="J246" s="49"/>
      <c r="K246" s="49"/>
      <c r="L246" s="99"/>
      <c r="M246" s="49"/>
      <c r="N246" s="49"/>
      <c r="O246" s="49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9"/>
      <c r="I247" s="49"/>
      <c r="J247" s="49"/>
      <c r="K247" s="49"/>
      <c r="L247" s="99"/>
      <c r="M247" s="49"/>
      <c r="N247" s="49"/>
      <c r="O247" s="49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9"/>
      <c r="I248" s="49"/>
      <c r="J248" s="49"/>
      <c r="K248" s="49"/>
      <c r="L248" s="99"/>
      <c r="M248" s="49"/>
      <c r="N248" s="49"/>
      <c r="O248" s="49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9"/>
      <c r="I249" s="49"/>
      <c r="J249" s="49"/>
      <c r="K249" s="49"/>
      <c r="L249" s="99"/>
      <c r="M249" s="49"/>
      <c r="N249" s="49"/>
      <c r="O249" s="49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H250" s="49"/>
      <c r="I250" s="49"/>
      <c r="J250" s="49"/>
      <c r="K250" s="49"/>
      <c r="L250" s="49"/>
      <c r="M250" s="49"/>
      <c r="N250" s="49"/>
      <c r="O250" s="49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 J23:J24 J28:J32 J36:J40 J44">
    <cfRule type="cellIs" dxfId="0" priority="1" operator="greaterThan">
      <formula>L13</formula>
    </cfRule>
  </conditionalFormatting>
  <conditionalFormatting sqref="J13 J19 J23:J24 J28:J32 J36:J40 J44">
    <cfRule type="cellIs" dxfId="1" priority="2" operator="lessThan">
      <formula>L13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4.5"/>
  </cols>
  <sheetData>
    <row r="1" ht="15.75" customHeight="1">
      <c r="A1" s="40" t="s">
        <v>45</v>
      </c>
      <c r="B1" s="40" t="s">
        <v>402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403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0</v>
      </c>
      <c r="K6" s="42"/>
      <c r="L6" s="37">
        <f>L16</f>
        <v>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J37</f>
        <v>42000</v>
      </c>
      <c r="K7" s="42"/>
      <c r="L7" s="37">
        <f>L37</f>
        <v>102000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-42000</v>
      </c>
      <c r="K8" s="42"/>
      <c r="L8" s="37">
        <f>L6-L7</f>
        <v>-102000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404</v>
      </c>
      <c r="C13" s="43"/>
      <c r="D13" s="43"/>
      <c r="E13" s="43"/>
      <c r="F13" s="43"/>
      <c r="G13" s="43"/>
      <c r="H13" s="43"/>
      <c r="I13" s="43"/>
      <c r="J13" s="16">
        <v>0.0</v>
      </c>
      <c r="K13" s="43"/>
      <c r="L13" s="16">
        <v>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31"/>
      <c r="D14" s="31"/>
      <c r="E14" s="31"/>
      <c r="F14" s="31"/>
      <c r="G14" s="31"/>
      <c r="H14" s="31"/>
      <c r="I14" s="31"/>
      <c r="J14" s="82">
        <f>SUM(J13)</f>
        <v>0</v>
      </c>
      <c r="K14" s="31"/>
      <c r="L14" s="82">
        <v>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0</v>
      </c>
      <c r="K16" s="47"/>
      <c r="L16" s="57">
        <v>0.0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4000.0</v>
      </c>
      <c r="B18" s="52" t="s">
        <v>405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406</v>
      </c>
      <c r="C19" s="43"/>
      <c r="D19" s="43"/>
      <c r="E19" s="43"/>
      <c r="F19" s="43"/>
      <c r="G19" s="2"/>
      <c r="H19" s="16"/>
      <c r="I19" s="43"/>
      <c r="J19" s="16">
        <v>10000.0</v>
      </c>
      <c r="K19" s="16"/>
      <c r="L19" s="16">
        <v>10000.0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407</v>
      </c>
      <c r="C20" s="43"/>
      <c r="D20" s="43"/>
      <c r="E20" s="43"/>
      <c r="F20" s="43"/>
      <c r="G20" s="2"/>
      <c r="H20" s="16"/>
      <c r="I20" s="43"/>
      <c r="J20" s="16">
        <v>2000.0</v>
      </c>
      <c r="K20" s="16"/>
      <c r="L20" s="16">
        <v>2000.0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404</v>
      </c>
      <c r="C21" s="43"/>
      <c r="D21" s="43"/>
      <c r="E21" s="43"/>
      <c r="F21" s="43"/>
      <c r="G21" s="2"/>
      <c r="H21" s="16"/>
      <c r="I21" s="43"/>
      <c r="J21" s="16">
        <v>0.0</v>
      </c>
      <c r="K21" s="16"/>
      <c r="L21" s="16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81" t="s">
        <v>147</v>
      </c>
      <c r="C22" s="31"/>
      <c r="D22" s="31"/>
      <c r="E22" s="31"/>
      <c r="F22" s="31"/>
      <c r="G22" s="31"/>
      <c r="H22" s="31"/>
      <c r="I22" s="31"/>
      <c r="J22" s="82">
        <f>SUM(J19:J20)</f>
        <v>12000</v>
      </c>
      <c r="K22" s="31"/>
      <c r="L22" s="82">
        <v>12000.0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106">
        <v>4320.0</v>
      </c>
      <c r="B24" s="107" t="s">
        <v>376</v>
      </c>
      <c r="C24" s="108"/>
      <c r="D24" s="108"/>
      <c r="E24" s="108"/>
      <c r="F24" s="108"/>
      <c r="G24" s="108"/>
      <c r="H24" s="108"/>
      <c r="I24" s="108"/>
      <c r="J24" s="9"/>
      <c r="K24" s="108"/>
      <c r="L24" s="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108"/>
      <c r="B25" s="108" t="s">
        <v>378</v>
      </c>
      <c r="C25" s="108"/>
      <c r="D25" s="108"/>
      <c r="E25" s="108"/>
      <c r="F25" s="108"/>
      <c r="G25" s="108"/>
      <c r="H25" s="9"/>
      <c r="I25" s="108"/>
      <c r="J25" s="35">
        <v>0.0</v>
      </c>
      <c r="K25" s="9"/>
      <c r="L25" s="11">
        <v>25000.0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108"/>
      <c r="B26" s="108" t="s">
        <v>379</v>
      </c>
      <c r="C26" s="108"/>
      <c r="D26" s="108"/>
      <c r="E26" s="108"/>
      <c r="F26" s="108"/>
      <c r="G26" s="108"/>
      <c r="H26" s="9"/>
      <c r="I26" s="108"/>
      <c r="J26" s="35">
        <v>0.0</v>
      </c>
      <c r="K26" s="9"/>
      <c r="L26" s="11">
        <v>35000.0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108"/>
      <c r="B27" s="109" t="s">
        <v>147</v>
      </c>
      <c r="C27" s="110"/>
      <c r="D27" s="110"/>
      <c r="E27" s="110"/>
      <c r="F27" s="110"/>
      <c r="G27" s="110"/>
      <c r="H27" s="110"/>
      <c r="I27" s="110"/>
      <c r="J27" s="30">
        <f>SUM(J25:J26)</f>
        <v>0</v>
      </c>
      <c r="K27" s="110"/>
      <c r="L27" s="30">
        <v>60000.0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108"/>
      <c r="B28" s="107"/>
      <c r="C28" s="108"/>
      <c r="D28" s="108"/>
      <c r="E28" s="108"/>
      <c r="F28" s="108"/>
      <c r="G28" s="108"/>
      <c r="H28" s="108"/>
      <c r="I28" s="108"/>
      <c r="J28" s="37"/>
      <c r="K28" s="108"/>
      <c r="L28" s="3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80">
        <v>5480.0</v>
      </c>
      <c r="B29" s="52" t="s">
        <v>148</v>
      </c>
      <c r="C29" s="43"/>
      <c r="D29" s="43"/>
      <c r="E29" s="43"/>
      <c r="F29" s="43"/>
      <c r="G29" s="43"/>
      <c r="H29" s="43"/>
      <c r="I29" s="43"/>
      <c r="J29" s="16"/>
      <c r="K29" s="43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408</v>
      </c>
      <c r="C30" s="43"/>
      <c r="D30" s="43"/>
      <c r="E30" s="43"/>
      <c r="F30" s="43"/>
      <c r="G30" s="43"/>
      <c r="H30" s="43"/>
      <c r="I30" s="43"/>
      <c r="J30" s="16">
        <v>27000.0</v>
      </c>
      <c r="K30" s="43"/>
      <c r="L30" s="16">
        <v>27000.0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81" t="s">
        <v>147</v>
      </c>
      <c r="C31" s="31"/>
      <c r="D31" s="31"/>
      <c r="E31" s="31"/>
      <c r="F31" s="31"/>
      <c r="G31" s="31"/>
      <c r="H31" s="31"/>
      <c r="I31" s="31"/>
      <c r="J31" s="82">
        <f>SUM(J30)</f>
        <v>27000</v>
      </c>
      <c r="K31" s="31"/>
      <c r="L31" s="82">
        <v>27000.0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52"/>
      <c r="C32" s="43"/>
      <c r="D32" s="43"/>
      <c r="E32" s="43"/>
      <c r="F32" s="43"/>
      <c r="G32" s="43"/>
      <c r="H32" s="43"/>
      <c r="I32" s="43"/>
      <c r="J32" s="73"/>
      <c r="K32" s="43"/>
      <c r="L32" s="7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80">
        <v>6150.0</v>
      </c>
      <c r="B33" s="52" t="s">
        <v>184</v>
      </c>
      <c r="C33" s="43"/>
      <c r="D33" s="43"/>
      <c r="E33" s="43"/>
      <c r="F33" s="43"/>
      <c r="G33" s="43"/>
      <c r="H33" s="43"/>
      <c r="I33" s="43"/>
      <c r="J33" s="16"/>
      <c r="K33" s="43"/>
      <c r="L33" s="16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409</v>
      </c>
      <c r="C34" s="43"/>
      <c r="D34" s="43"/>
      <c r="E34" s="43"/>
      <c r="F34" s="43"/>
      <c r="G34" s="43"/>
      <c r="H34" s="43"/>
      <c r="I34" s="43"/>
      <c r="J34" s="16">
        <v>3000.0</v>
      </c>
      <c r="K34" s="43"/>
      <c r="L34" s="16">
        <v>3000.0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81" t="s">
        <v>147</v>
      </c>
      <c r="C35" s="31"/>
      <c r="D35" s="31"/>
      <c r="E35" s="31"/>
      <c r="F35" s="31"/>
      <c r="G35" s="31"/>
      <c r="H35" s="31"/>
      <c r="I35" s="31"/>
      <c r="J35" s="82">
        <f>SUM(J34)</f>
        <v>3000</v>
      </c>
      <c r="K35" s="31"/>
      <c r="L35" s="82">
        <v>3000.0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7"/>
      <c r="B37" s="47" t="s">
        <v>4</v>
      </c>
      <c r="C37" s="47"/>
      <c r="D37" s="47"/>
      <c r="E37" s="47"/>
      <c r="F37" s="47"/>
      <c r="G37" s="47"/>
      <c r="H37" s="47"/>
      <c r="I37" s="47"/>
      <c r="J37" s="57">
        <f>SUM(J17:J36)/2</f>
        <v>42000</v>
      </c>
      <c r="K37" s="47"/>
      <c r="L37" s="57">
        <f>SUM(L17:L36)/2</f>
        <v>102000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7"/>
      <c r="B39" s="47" t="s">
        <v>5</v>
      </c>
      <c r="C39" s="47"/>
      <c r="D39" s="47"/>
      <c r="E39" s="47"/>
      <c r="F39" s="47"/>
      <c r="G39" s="47"/>
      <c r="H39" s="47"/>
      <c r="I39" s="47"/>
      <c r="J39" s="57">
        <f>J16-J37</f>
        <v>-42000</v>
      </c>
      <c r="K39" s="47"/>
      <c r="L39" s="57">
        <f>L16-L37</f>
        <v>-102000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:J21 J30 J34">
    <cfRule type="cellIs" dxfId="0" priority="1" operator="greaterThan">
      <formula>L13</formula>
    </cfRule>
  </conditionalFormatting>
  <conditionalFormatting sqref="J13 J19:J21 J30 J34">
    <cfRule type="cellIs" dxfId="1" priority="2" operator="lessThan">
      <formula>L13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2.0"/>
    <col customWidth="1" min="6" max="6" width="5.25"/>
    <col customWidth="1" min="7" max="7" width="1.88"/>
    <col customWidth="1" min="8" max="8" width="9.25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46</v>
      </c>
      <c r="B1" s="40" t="s">
        <v>410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411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J22</f>
        <v>46400</v>
      </c>
      <c r="K7" s="42"/>
      <c r="L7" s="37">
        <v>46400.0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-46400</v>
      </c>
      <c r="K8" s="42"/>
      <c r="L8" s="37">
        <v>-46400.0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5480.0</v>
      </c>
      <c r="B14" s="52" t="s">
        <v>148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412</v>
      </c>
      <c r="C15" s="43"/>
      <c r="D15" s="43"/>
      <c r="E15" s="43"/>
      <c r="F15" s="43">
        <v>11.0</v>
      </c>
      <c r="G15" s="2" t="s">
        <v>155</v>
      </c>
      <c r="H15" s="16">
        <v>900.0</v>
      </c>
      <c r="I15" s="84" t="s">
        <v>119</v>
      </c>
      <c r="J15" s="16">
        <f>F15*H15</f>
        <v>9900</v>
      </c>
      <c r="K15" s="43"/>
      <c r="L15" s="16">
        <v>9900.0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9900</v>
      </c>
      <c r="K16" s="31"/>
      <c r="L16" s="82">
        <v>9900.0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4310.0</v>
      </c>
      <c r="B18" s="52" t="s">
        <v>177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413</v>
      </c>
      <c r="C19" s="43"/>
      <c r="D19" s="43"/>
      <c r="E19" s="43"/>
      <c r="F19" s="43"/>
      <c r="G19" s="2"/>
      <c r="H19" s="16"/>
      <c r="I19" s="43"/>
      <c r="J19" s="16">
        <v>36500.0</v>
      </c>
      <c r="K19" s="43"/>
      <c r="L19" s="16">
        <v>36500.0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SUM(J19)</f>
        <v>36500</v>
      </c>
      <c r="K20" s="81"/>
      <c r="L20" s="82">
        <v>36500.0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7"/>
      <c r="B22" s="47" t="s">
        <v>4</v>
      </c>
      <c r="C22" s="47"/>
      <c r="D22" s="47"/>
      <c r="E22" s="47"/>
      <c r="F22" s="47"/>
      <c r="G22" s="47"/>
      <c r="H22" s="47"/>
      <c r="I22" s="47"/>
      <c r="J22" s="57">
        <f>SUM(J13:J21)/2</f>
        <v>46400</v>
      </c>
      <c r="K22" s="47"/>
      <c r="L22" s="57">
        <v>46400.0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49"/>
      <c r="Z22" s="49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7"/>
      <c r="B24" s="47" t="s">
        <v>5</v>
      </c>
      <c r="C24" s="47"/>
      <c r="D24" s="47"/>
      <c r="E24" s="47"/>
      <c r="F24" s="47"/>
      <c r="G24" s="47"/>
      <c r="H24" s="47"/>
      <c r="I24" s="47"/>
      <c r="J24" s="57">
        <f>J12-J22</f>
        <v>-46400</v>
      </c>
      <c r="K24" s="47"/>
      <c r="L24" s="57">
        <v>-46400.0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9"/>
      <c r="G189" s="49"/>
      <c r="H189" s="49"/>
      <c r="I189" s="49"/>
      <c r="J189" s="49"/>
      <c r="K189" s="49"/>
      <c r="L189" s="99"/>
      <c r="M189" s="49"/>
      <c r="N189" s="49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9"/>
      <c r="G190" s="49"/>
      <c r="H190" s="49"/>
      <c r="I190" s="49"/>
      <c r="J190" s="49"/>
      <c r="K190" s="49"/>
      <c r="L190" s="99"/>
      <c r="M190" s="49"/>
      <c r="N190" s="49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9"/>
      <c r="G191" s="49"/>
      <c r="H191" s="49"/>
      <c r="I191" s="49"/>
      <c r="J191" s="49"/>
      <c r="K191" s="49"/>
      <c r="L191" s="99"/>
      <c r="M191" s="49"/>
      <c r="N191" s="49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9"/>
      <c r="G192" s="49"/>
      <c r="H192" s="49"/>
      <c r="I192" s="49"/>
      <c r="J192" s="49"/>
      <c r="K192" s="49"/>
      <c r="L192" s="99"/>
      <c r="M192" s="49"/>
      <c r="N192" s="49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9"/>
      <c r="G193" s="49"/>
      <c r="H193" s="49"/>
      <c r="I193" s="49"/>
      <c r="J193" s="49"/>
      <c r="K193" s="49"/>
      <c r="L193" s="99"/>
      <c r="M193" s="49"/>
      <c r="N193" s="49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9"/>
      <c r="G194" s="49"/>
      <c r="H194" s="49"/>
      <c r="I194" s="49"/>
      <c r="J194" s="49"/>
      <c r="K194" s="49"/>
      <c r="L194" s="99"/>
      <c r="M194" s="49"/>
      <c r="N194" s="49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9"/>
      <c r="G195" s="49"/>
      <c r="H195" s="49"/>
      <c r="I195" s="49"/>
      <c r="J195" s="49"/>
      <c r="K195" s="49"/>
      <c r="L195" s="99"/>
      <c r="M195" s="49"/>
      <c r="N195" s="49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9"/>
      <c r="G196" s="49"/>
      <c r="H196" s="49"/>
      <c r="I196" s="49"/>
      <c r="J196" s="49"/>
      <c r="K196" s="49"/>
      <c r="L196" s="99"/>
      <c r="M196" s="49"/>
      <c r="N196" s="49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9"/>
      <c r="G197" s="49"/>
      <c r="H197" s="49"/>
      <c r="I197" s="49"/>
      <c r="J197" s="49"/>
      <c r="K197" s="49"/>
      <c r="L197" s="99"/>
      <c r="M197" s="49"/>
      <c r="N197" s="49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9"/>
      <c r="G198" s="49"/>
      <c r="H198" s="49"/>
      <c r="I198" s="49"/>
      <c r="J198" s="49"/>
      <c r="K198" s="49"/>
      <c r="L198" s="99"/>
      <c r="M198" s="49"/>
      <c r="N198" s="49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9"/>
      <c r="G199" s="49"/>
      <c r="H199" s="49"/>
      <c r="I199" s="49"/>
      <c r="J199" s="49"/>
      <c r="K199" s="49"/>
      <c r="L199" s="99"/>
      <c r="M199" s="49"/>
      <c r="N199" s="49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9"/>
      <c r="G200" s="49"/>
      <c r="H200" s="49"/>
      <c r="I200" s="49"/>
      <c r="J200" s="49"/>
      <c r="K200" s="49"/>
      <c r="L200" s="99"/>
      <c r="M200" s="49"/>
      <c r="N200" s="49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9"/>
      <c r="G201" s="49"/>
      <c r="H201" s="49"/>
      <c r="I201" s="49"/>
      <c r="J201" s="49"/>
      <c r="K201" s="49"/>
      <c r="L201" s="99"/>
      <c r="M201" s="49"/>
      <c r="N201" s="49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9"/>
      <c r="G202" s="49"/>
      <c r="H202" s="49"/>
      <c r="I202" s="49"/>
      <c r="J202" s="49"/>
      <c r="K202" s="49"/>
      <c r="L202" s="99"/>
      <c r="M202" s="49"/>
      <c r="N202" s="49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9"/>
      <c r="G203" s="49"/>
      <c r="H203" s="49"/>
      <c r="I203" s="49"/>
      <c r="J203" s="49"/>
      <c r="K203" s="49"/>
      <c r="L203" s="99"/>
      <c r="M203" s="49"/>
      <c r="N203" s="49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9"/>
      <c r="G204" s="49"/>
      <c r="H204" s="49"/>
      <c r="I204" s="49"/>
      <c r="J204" s="49"/>
      <c r="K204" s="49"/>
      <c r="L204" s="99"/>
      <c r="M204" s="49"/>
      <c r="N204" s="49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9"/>
      <c r="G205" s="49"/>
      <c r="H205" s="49"/>
      <c r="I205" s="49"/>
      <c r="J205" s="49"/>
      <c r="K205" s="49"/>
      <c r="L205" s="99"/>
      <c r="M205" s="49"/>
      <c r="N205" s="49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9"/>
      <c r="G206" s="49"/>
      <c r="H206" s="49"/>
      <c r="I206" s="49"/>
      <c r="J206" s="49"/>
      <c r="K206" s="49"/>
      <c r="L206" s="99"/>
      <c r="M206" s="49"/>
      <c r="N206" s="49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9"/>
      <c r="G207" s="49"/>
      <c r="H207" s="49"/>
      <c r="I207" s="49"/>
      <c r="J207" s="49"/>
      <c r="K207" s="49"/>
      <c r="L207" s="99"/>
      <c r="M207" s="49"/>
      <c r="N207" s="49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9"/>
      <c r="G208" s="49"/>
      <c r="H208" s="49"/>
      <c r="I208" s="49"/>
      <c r="J208" s="49"/>
      <c r="K208" s="49"/>
      <c r="L208" s="99"/>
      <c r="M208" s="49"/>
      <c r="N208" s="49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9"/>
      <c r="G209" s="49"/>
      <c r="H209" s="49"/>
      <c r="I209" s="49"/>
      <c r="J209" s="49"/>
      <c r="K209" s="49"/>
      <c r="L209" s="99"/>
      <c r="M209" s="49"/>
      <c r="N209" s="49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9"/>
      <c r="G210" s="49"/>
      <c r="H210" s="49"/>
      <c r="I210" s="49"/>
      <c r="J210" s="49"/>
      <c r="K210" s="49"/>
      <c r="L210" s="99"/>
      <c r="M210" s="49"/>
      <c r="N210" s="49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9"/>
      <c r="G211" s="49"/>
      <c r="H211" s="49"/>
      <c r="I211" s="49"/>
      <c r="J211" s="49"/>
      <c r="K211" s="49"/>
      <c r="L211" s="99"/>
      <c r="M211" s="49"/>
      <c r="N211" s="49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9"/>
      <c r="G212" s="49"/>
      <c r="H212" s="49"/>
      <c r="I212" s="49"/>
      <c r="J212" s="49"/>
      <c r="K212" s="49"/>
      <c r="L212" s="99"/>
      <c r="M212" s="49"/>
      <c r="N212" s="49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9"/>
      <c r="G213" s="49"/>
      <c r="H213" s="49"/>
      <c r="I213" s="49"/>
      <c r="J213" s="49"/>
      <c r="K213" s="49"/>
      <c r="L213" s="99"/>
      <c r="M213" s="49"/>
      <c r="N213" s="49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9"/>
      <c r="G214" s="49"/>
      <c r="H214" s="49"/>
      <c r="I214" s="49"/>
      <c r="J214" s="49"/>
      <c r="K214" s="49"/>
      <c r="L214" s="99"/>
      <c r="M214" s="49"/>
      <c r="N214" s="49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9"/>
      <c r="G215" s="49"/>
      <c r="H215" s="49"/>
      <c r="I215" s="49"/>
      <c r="J215" s="49"/>
      <c r="K215" s="49"/>
      <c r="L215" s="99"/>
      <c r="M215" s="49"/>
      <c r="N215" s="49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9"/>
      <c r="G216" s="49"/>
      <c r="H216" s="49"/>
      <c r="I216" s="49"/>
      <c r="J216" s="49"/>
      <c r="K216" s="49"/>
      <c r="L216" s="99"/>
      <c r="M216" s="49"/>
      <c r="N216" s="49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9"/>
      <c r="G217" s="49"/>
      <c r="H217" s="49"/>
      <c r="I217" s="49"/>
      <c r="J217" s="49"/>
      <c r="K217" s="49"/>
      <c r="L217" s="99"/>
      <c r="M217" s="49"/>
      <c r="N217" s="49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9"/>
      <c r="G218" s="49"/>
      <c r="H218" s="49"/>
      <c r="I218" s="49"/>
      <c r="J218" s="49"/>
      <c r="K218" s="49"/>
      <c r="L218" s="99"/>
      <c r="M218" s="49"/>
      <c r="N218" s="49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9"/>
      <c r="G219" s="49"/>
      <c r="H219" s="49"/>
      <c r="I219" s="49"/>
      <c r="J219" s="49"/>
      <c r="K219" s="49"/>
      <c r="L219" s="99"/>
      <c r="M219" s="49"/>
      <c r="N219" s="49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9"/>
      <c r="G220" s="49"/>
      <c r="H220" s="49"/>
      <c r="I220" s="49"/>
      <c r="J220" s="49"/>
      <c r="K220" s="49"/>
      <c r="L220" s="99"/>
      <c r="M220" s="49"/>
      <c r="N220" s="49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9"/>
      <c r="G221" s="49"/>
      <c r="H221" s="49"/>
      <c r="I221" s="49"/>
      <c r="J221" s="49"/>
      <c r="K221" s="49"/>
      <c r="L221" s="99"/>
      <c r="M221" s="49"/>
      <c r="N221" s="49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9"/>
      <c r="G222" s="49"/>
      <c r="H222" s="49"/>
      <c r="I222" s="49"/>
      <c r="J222" s="49"/>
      <c r="K222" s="49"/>
      <c r="L222" s="99"/>
      <c r="M222" s="49"/>
      <c r="N222" s="49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9"/>
      <c r="G223" s="49"/>
      <c r="H223" s="49"/>
      <c r="I223" s="49"/>
      <c r="J223" s="49"/>
      <c r="K223" s="49"/>
      <c r="L223" s="99"/>
      <c r="M223" s="49"/>
      <c r="N223" s="49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9"/>
      <c r="G224" s="49"/>
      <c r="H224" s="49"/>
      <c r="I224" s="49"/>
      <c r="J224" s="49"/>
      <c r="K224" s="49"/>
      <c r="L224" s="99"/>
      <c r="M224" s="49"/>
      <c r="N224" s="49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F225" s="49"/>
      <c r="G225" s="49"/>
      <c r="H225" s="49"/>
      <c r="I225" s="49"/>
      <c r="J225" s="49"/>
      <c r="K225" s="49"/>
      <c r="L225" s="49"/>
      <c r="M225" s="49"/>
      <c r="N225" s="49"/>
    </row>
    <row r="226" ht="15.75" customHeight="1">
      <c r="F226" s="49"/>
      <c r="G226" s="49"/>
      <c r="H226" s="49"/>
      <c r="I226" s="49"/>
      <c r="J226" s="49"/>
      <c r="K226" s="49"/>
      <c r="L226" s="49"/>
      <c r="M226" s="49"/>
      <c r="N226" s="49"/>
    </row>
    <row r="227" ht="15.75" customHeight="1">
      <c r="F227" s="49"/>
      <c r="G227" s="49"/>
      <c r="H227" s="49"/>
      <c r="I227" s="49"/>
      <c r="J227" s="49"/>
      <c r="K227" s="49"/>
      <c r="L227" s="49"/>
      <c r="M227" s="49"/>
      <c r="N227" s="49"/>
    </row>
    <row r="228" ht="15.75" customHeight="1">
      <c r="F228" s="49"/>
      <c r="G228" s="49"/>
      <c r="H228" s="49"/>
      <c r="I228" s="49"/>
      <c r="J228" s="49"/>
      <c r="K228" s="49"/>
      <c r="L228" s="49"/>
      <c r="M228" s="49"/>
      <c r="N228" s="49"/>
    </row>
    <row r="229" ht="15.75" customHeight="1">
      <c r="F229" s="49"/>
      <c r="G229" s="49"/>
      <c r="H229" s="49"/>
      <c r="I229" s="49"/>
      <c r="J229" s="49"/>
      <c r="K229" s="49"/>
      <c r="L229" s="49"/>
      <c r="M229" s="49"/>
      <c r="N229" s="49"/>
    </row>
    <row r="230" ht="15.75" customHeight="1">
      <c r="F230" s="49"/>
      <c r="G230" s="49"/>
      <c r="H230" s="49"/>
      <c r="I230" s="49"/>
      <c r="J230" s="49"/>
      <c r="K230" s="49"/>
      <c r="L230" s="49"/>
      <c r="M230" s="49"/>
      <c r="N230" s="49"/>
    </row>
    <row r="231" ht="15.75" customHeight="1">
      <c r="F231" s="49"/>
      <c r="G231" s="49"/>
      <c r="H231" s="49"/>
      <c r="I231" s="49"/>
      <c r="J231" s="49"/>
      <c r="K231" s="49"/>
      <c r="L231" s="49"/>
      <c r="M231" s="49"/>
      <c r="N231" s="49"/>
    </row>
    <row r="232" ht="15.75" customHeight="1">
      <c r="F232" s="49"/>
      <c r="G232" s="49"/>
      <c r="H232" s="49"/>
      <c r="I232" s="49"/>
      <c r="J232" s="49"/>
      <c r="K232" s="49"/>
      <c r="L232" s="49"/>
      <c r="M232" s="49"/>
      <c r="N232" s="49"/>
    </row>
    <row r="233" ht="15.75" customHeight="1">
      <c r="F233" s="49"/>
      <c r="G233" s="49"/>
      <c r="H233" s="49"/>
      <c r="I233" s="49"/>
      <c r="J233" s="49"/>
      <c r="K233" s="49"/>
      <c r="L233" s="49"/>
      <c r="M233" s="49"/>
      <c r="N233" s="49"/>
    </row>
    <row r="234" ht="15.75" customHeight="1">
      <c r="F234" s="49"/>
      <c r="G234" s="49"/>
      <c r="H234" s="49"/>
      <c r="I234" s="49"/>
      <c r="J234" s="49"/>
      <c r="K234" s="49"/>
      <c r="L234" s="49"/>
      <c r="M234" s="49"/>
      <c r="N234" s="49"/>
    </row>
    <row r="235" ht="15.75" customHeight="1">
      <c r="F235" s="49"/>
      <c r="G235" s="49"/>
      <c r="H235" s="49"/>
      <c r="I235" s="49"/>
      <c r="J235" s="49"/>
      <c r="K235" s="49"/>
      <c r="L235" s="49"/>
      <c r="M235" s="49"/>
      <c r="N235" s="49"/>
    </row>
    <row r="236" ht="15.75" customHeight="1">
      <c r="F236" s="49"/>
      <c r="G236" s="49"/>
      <c r="H236" s="49"/>
      <c r="I236" s="49"/>
      <c r="J236" s="49"/>
      <c r="K236" s="49"/>
      <c r="L236" s="49"/>
      <c r="M236" s="49"/>
      <c r="N236" s="49"/>
    </row>
    <row r="237" ht="15.75" customHeight="1">
      <c r="F237" s="49"/>
      <c r="G237" s="49"/>
      <c r="H237" s="49"/>
      <c r="I237" s="49"/>
      <c r="J237" s="49"/>
      <c r="K237" s="49"/>
      <c r="L237" s="49"/>
      <c r="M237" s="49"/>
      <c r="N237" s="49"/>
    </row>
    <row r="238" ht="15.75" customHeight="1">
      <c r="F238" s="49"/>
      <c r="G238" s="49"/>
      <c r="H238" s="49"/>
      <c r="I238" s="49"/>
      <c r="J238" s="49"/>
      <c r="K238" s="49"/>
      <c r="L238" s="49"/>
      <c r="M238" s="49"/>
      <c r="N238" s="49"/>
    </row>
    <row r="239" ht="15.75" customHeight="1">
      <c r="F239" s="49"/>
      <c r="G239" s="49"/>
      <c r="H239" s="49"/>
      <c r="I239" s="49"/>
      <c r="J239" s="49"/>
      <c r="K239" s="49"/>
      <c r="L239" s="49"/>
      <c r="M239" s="49"/>
      <c r="N239" s="49"/>
    </row>
    <row r="240" ht="15.75" customHeight="1">
      <c r="F240" s="49"/>
      <c r="G240" s="49"/>
      <c r="H240" s="49"/>
      <c r="I240" s="49"/>
      <c r="J240" s="49"/>
      <c r="K240" s="49"/>
      <c r="L240" s="49"/>
      <c r="M240" s="49"/>
      <c r="N240" s="49"/>
    </row>
    <row r="241" ht="15.75" customHeight="1">
      <c r="F241" s="49"/>
      <c r="G241" s="49"/>
      <c r="H241" s="49"/>
      <c r="I241" s="49"/>
      <c r="J241" s="49"/>
      <c r="K241" s="49"/>
      <c r="L241" s="49"/>
      <c r="M241" s="49"/>
      <c r="N241" s="49"/>
    </row>
    <row r="242" ht="15.75" customHeight="1">
      <c r="F242" s="49"/>
      <c r="G242" s="49"/>
      <c r="H242" s="49"/>
      <c r="I242" s="49"/>
      <c r="J242" s="49"/>
      <c r="K242" s="49"/>
      <c r="L242" s="49"/>
      <c r="M242" s="49"/>
      <c r="N242" s="49"/>
    </row>
    <row r="243" ht="15.75" customHeight="1">
      <c r="F243" s="49"/>
      <c r="G243" s="49"/>
      <c r="H243" s="49"/>
      <c r="I243" s="49"/>
      <c r="J243" s="49"/>
      <c r="K243" s="49"/>
      <c r="L243" s="49"/>
      <c r="M243" s="49"/>
      <c r="N243" s="49"/>
    </row>
    <row r="244" ht="15.75" customHeight="1">
      <c r="F244" s="49"/>
      <c r="G244" s="49"/>
      <c r="H244" s="49"/>
      <c r="I244" s="49"/>
      <c r="J244" s="49"/>
      <c r="K244" s="49"/>
      <c r="L244" s="49"/>
      <c r="M244" s="49"/>
      <c r="N244" s="49"/>
    </row>
    <row r="245" ht="15.75" customHeight="1">
      <c r="F245" s="49"/>
      <c r="G245" s="49"/>
      <c r="H245" s="49"/>
      <c r="I245" s="49"/>
      <c r="J245" s="49"/>
      <c r="K245" s="49"/>
      <c r="L245" s="49"/>
      <c r="M245" s="49"/>
      <c r="N245" s="49"/>
    </row>
    <row r="246" ht="15.75" customHeight="1">
      <c r="F246" s="49"/>
      <c r="G246" s="49"/>
      <c r="H246" s="49"/>
      <c r="I246" s="49"/>
      <c r="J246" s="49"/>
      <c r="K246" s="49"/>
      <c r="L246" s="49"/>
      <c r="M246" s="49"/>
      <c r="N246" s="49"/>
    </row>
    <row r="247" ht="15.75" customHeight="1">
      <c r="F247" s="49"/>
      <c r="G247" s="49"/>
      <c r="H247" s="49"/>
      <c r="I247" s="49"/>
      <c r="J247" s="49"/>
      <c r="K247" s="49"/>
      <c r="L247" s="49"/>
      <c r="M247" s="49"/>
      <c r="N247" s="4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">
    <cfRule type="cellIs" dxfId="0" priority="1" operator="greaterThan">
      <formula>L15</formula>
    </cfRule>
  </conditionalFormatting>
  <conditionalFormatting sqref="J15 J19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6.88"/>
  </cols>
  <sheetData>
    <row r="1" ht="15.75" customHeight="1">
      <c r="A1" s="40" t="s">
        <v>47</v>
      </c>
      <c r="B1" s="40" t="s">
        <v>207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414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J19</f>
        <v>144500</v>
      </c>
      <c r="K6" s="42"/>
      <c r="L6" s="37">
        <v>104000.0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J37</f>
        <v>194100</v>
      </c>
      <c r="K7" s="42"/>
      <c r="L7" s="37">
        <v>153600.0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-49600</v>
      </c>
      <c r="K8" s="42"/>
      <c r="L8" s="37">
        <v>-49600.0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80">
        <v>3015.0</v>
      </c>
      <c r="B12" s="52" t="s">
        <v>388</v>
      </c>
      <c r="C12" s="52"/>
      <c r="D12" s="52"/>
      <c r="E12" s="52"/>
      <c r="F12" s="52"/>
      <c r="G12" s="52"/>
      <c r="H12" s="52"/>
      <c r="I12" s="52"/>
      <c r="J12" s="73"/>
      <c r="K12" s="52"/>
      <c r="L12" s="7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43" t="s">
        <v>415</v>
      </c>
      <c r="H13" s="16"/>
      <c r="I13" s="43"/>
      <c r="J13" s="16">
        <v>40000.0</v>
      </c>
      <c r="K13" s="16"/>
      <c r="L13" s="16">
        <v>40000.0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43" t="s">
        <v>416</v>
      </c>
      <c r="F14" s="43"/>
      <c r="G14" s="43"/>
      <c r="H14" s="16"/>
      <c r="I14" s="43"/>
      <c r="J14" s="16">
        <v>10000.0</v>
      </c>
      <c r="K14" s="16"/>
      <c r="L14" s="16">
        <v>10000.0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417</v>
      </c>
      <c r="F15" s="43"/>
      <c r="G15" s="43"/>
      <c r="H15" s="16"/>
      <c r="I15" s="43"/>
      <c r="J15" s="16">
        <v>54000.0</v>
      </c>
      <c r="K15" s="16"/>
      <c r="L15" s="16">
        <v>54000.0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54" t="s">
        <v>418</v>
      </c>
      <c r="C16" s="52"/>
      <c r="D16" s="52"/>
      <c r="E16" s="52"/>
      <c r="F16" s="54">
        <v>675.0</v>
      </c>
      <c r="G16" s="54" t="s">
        <v>118</v>
      </c>
      <c r="H16" s="54">
        <v>60.0</v>
      </c>
      <c r="I16" s="111" t="s">
        <v>119</v>
      </c>
      <c r="J16" s="16">
        <f>F16*H16</f>
        <v>40500</v>
      </c>
      <c r="K16" s="16"/>
      <c r="L16" s="59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81" t="s">
        <v>147</v>
      </c>
      <c r="C17" s="81"/>
      <c r="D17" s="81"/>
      <c r="E17" s="81"/>
      <c r="F17" s="81"/>
      <c r="G17" s="81"/>
      <c r="H17" s="81"/>
      <c r="I17" s="81"/>
      <c r="J17" s="82">
        <f>SUM(J13:J16)</f>
        <v>144500</v>
      </c>
      <c r="K17" s="81"/>
      <c r="L17" s="82">
        <v>104000.0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7"/>
      <c r="B19" s="47" t="s">
        <v>3</v>
      </c>
      <c r="C19" s="47"/>
      <c r="D19" s="47"/>
      <c r="E19" s="47"/>
      <c r="F19" s="47"/>
      <c r="G19" s="47"/>
      <c r="H19" s="47"/>
      <c r="I19" s="47"/>
      <c r="J19" s="57">
        <f>SUM(J11:J18)/2</f>
        <v>144500</v>
      </c>
      <c r="K19" s="47"/>
      <c r="L19" s="57">
        <v>104000.0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49"/>
    </row>
    <row r="20" ht="15.75" customHeight="1">
      <c r="A20" s="43"/>
      <c r="B20" s="52"/>
      <c r="C20" s="43"/>
      <c r="D20" s="43"/>
      <c r="E20" s="43"/>
      <c r="F20" s="43"/>
      <c r="G20" s="43"/>
      <c r="H20" s="43"/>
      <c r="I20" s="43"/>
      <c r="J20" s="73"/>
      <c r="K20" s="43"/>
      <c r="L20" s="73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80">
        <v>4310.0</v>
      </c>
      <c r="B21" s="52" t="s">
        <v>177</v>
      </c>
      <c r="C21" s="52"/>
      <c r="D21" s="52"/>
      <c r="E21" s="52"/>
      <c r="F21" s="52"/>
      <c r="G21" s="52"/>
      <c r="H21" s="52"/>
      <c r="I21" s="52"/>
      <c r="J21" s="73"/>
      <c r="K21" s="52"/>
      <c r="L21" s="7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 t="s">
        <v>416</v>
      </c>
      <c r="C22" s="52"/>
      <c r="D22" s="52"/>
      <c r="E22" s="52"/>
      <c r="F22" s="52"/>
      <c r="G22" s="52"/>
      <c r="H22" s="52"/>
      <c r="I22" s="52"/>
      <c r="J22" s="16">
        <v>10000.0</v>
      </c>
      <c r="K22" s="52"/>
      <c r="L22" s="16">
        <v>10000.0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43" t="s">
        <v>417</v>
      </c>
      <c r="C23" s="52"/>
      <c r="D23" s="52"/>
      <c r="E23" s="52"/>
      <c r="F23" s="52"/>
      <c r="G23" s="52"/>
      <c r="H23" s="52"/>
      <c r="I23" s="52"/>
      <c r="J23" s="16">
        <v>54000.0</v>
      </c>
      <c r="K23" s="52"/>
      <c r="L23" s="16">
        <v>54000.0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257</v>
      </c>
      <c r="C24" s="52"/>
      <c r="D24" s="52"/>
      <c r="E24" s="52"/>
      <c r="F24" s="52"/>
      <c r="G24" s="52"/>
      <c r="H24" s="52"/>
      <c r="I24" s="52"/>
      <c r="J24" s="16">
        <v>40000.0</v>
      </c>
      <c r="K24" s="52"/>
      <c r="L24" s="16">
        <v>40000.0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54" t="s">
        <v>418</v>
      </c>
      <c r="C25" s="52"/>
      <c r="D25" s="52"/>
      <c r="E25" s="52"/>
      <c r="F25" s="54">
        <v>675.0</v>
      </c>
      <c r="G25" s="54" t="s">
        <v>118</v>
      </c>
      <c r="H25" s="54">
        <v>60.0</v>
      </c>
      <c r="I25" s="111" t="s">
        <v>119</v>
      </c>
      <c r="J25" s="16">
        <f>F25*H25</f>
        <v>40500</v>
      </c>
      <c r="K25" s="52"/>
      <c r="L25" s="59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SUM(J22:J25)</f>
        <v>144500</v>
      </c>
      <c r="K26" s="81"/>
      <c r="L26" s="82">
        <v>104000.0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52"/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80">
        <v>4730.0</v>
      </c>
      <c r="B28" s="52" t="s">
        <v>380</v>
      </c>
      <c r="C28" s="52"/>
      <c r="D28" s="52"/>
      <c r="E28" s="52"/>
      <c r="F28" s="52"/>
      <c r="G28" s="52"/>
      <c r="H28" s="52"/>
      <c r="I28" s="52"/>
      <c r="J28" s="73"/>
      <c r="K28" s="52"/>
      <c r="L28" s="7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419</v>
      </c>
      <c r="C29" s="52"/>
      <c r="D29" s="52"/>
      <c r="E29" s="52"/>
      <c r="F29" s="52"/>
      <c r="G29" s="52"/>
      <c r="H29" s="52"/>
      <c r="I29" s="52"/>
      <c r="J29" s="16">
        <v>9600.0</v>
      </c>
      <c r="K29" s="52"/>
      <c r="L29" s="16">
        <v>9600.0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54" t="s">
        <v>420</v>
      </c>
      <c r="C30" s="52"/>
      <c r="D30" s="52"/>
      <c r="E30" s="52"/>
      <c r="F30" s="52"/>
      <c r="G30" s="52"/>
      <c r="H30" s="52"/>
      <c r="I30" s="52"/>
      <c r="J30" s="16"/>
      <c r="K30" s="52"/>
      <c r="L30" s="59">
        <v>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81" t="s">
        <v>147</v>
      </c>
      <c r="C31" s="81"/>
      <c r="D31" s="81"/>
      <c r="E31" s="81"/>
      <c r="F31" s="81"/>
      <c r="G31" s="81"/>
      <c r="H31" s="81"/>
      <c r="I31" s="81"/>
      <c r="J31" s="82">
        <f>SUM(J27:J29)</f>
        <v>9600</v>
      </c>
      <c r="K31" s="81"/>
      <c r="L31" s="82">
        <v>9600.0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52"/>
      <c r="C32" s="52"/>
      <c r="D32" s="52"/>
      <c r="E32" s="52"/>
      <c r="F32" s="52"/>
      <c r="G32" s="52"/>
      <c r="H32" s="52"/>
      <c r="I32" s="52"/>
      <c r="J32" s="73"/>
      <c r="K32" s="52"/>
      <c r="L32" s="7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80">
        <v>5810.0</v>
      </c>
      <c r="B33" s="52" t="s">
        <v>173</v>
      </c>
      <c r="C33" s="52"/>
      <c r="D33" s="52"/>
      <c r="E33" s="52"/>
      <c r="F33" s="52"/>
      <c r="G33" s="52"/>
      <c r="H33" s="52"/>
      <c r="I33" s="52"/>
      <c r="J33" s="73"/>
      <c r="K33" s="52"/>
      <c r="L33" s="7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415</v>
      </c>
      <c r="C34" s="52"/>
      <c r="D34" s="52"/>
      <c r="E34" s="52"/>
      <c r="F34" s="52"/>
      <c r="G34" s="52"/>
      <c r="H34" s="52"/>
      <c r="I34" s="52"/>
      <c r="J34" s="16">
        <v>40000.0</v>
      </c>
      <c r="K34" s="52"/>
      <c r="L34" s="16">
        <v>40000.0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81" t="s">
        <v>147</v>
      </c>
      <c r="C35" s="81"/>
      <c r="D35" s="81"/>
      <c r="E35" s="81"/>
      <c r="F35" s="81"/>
      <c r="G35" s="81"/>
      <c r="H35" s="81"/>
      <c r="I35" s="81"/>
      <c r="J35" s="82">
        <f>SUM(J32:J34)</f>
        <v>40000</v>
      </c>
      <c r="K35" s="81"/>
      <c r="L35" s="82">
        <v>40000.0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52"/>
      <c r="C36" s="52"/>
      <c r="D36" s="52"/>
      <c r="E36" s="52"/>
      <c r="F36" s="52"/>
      <c r="G36" s="52"/>
      <c r="H36" s="52"/>
      <c r="I36" s="52"/>
      <c r="J36" s="73"/>
      <c r="K36" s="52"/>
      <c r="L36" s="7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7"/>
      <c r="B37" s="47" t="s">
        <v>4</v>
      </c>
      <c r="C37" s="47"/>
      <c r="D37" s="47"/>
      <c r="E37" s="47"/>
      <c r="F37" s="47"/>
      <c r="G37" s="47"/>
      <c r="H37" s="47"/>
      <c r="I37" s="47"/>
      <c r="J37" s="57">
        <f>SUM(J20:J36)/2</f>
        <v>194100</v>
      </c>
      <c r="K37" s="47"/>
      <c r="L37" s="57">
        <v>153600.0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7"/>
      <c r="B39" s="47" t="s">
        <v>5</v>
      </c>
      <c r="C39" s="47"/>
      <c r="D39" s="47"/>
      <c r="E39" s="47"/>
      <c r="F39" s="47"/>
      <c r="G39" s="47"/>
      <c r="H39" s="47"/>
      <c r="I39" s="47"/>
      <c r="J39" s="57">
        <f>J19-J37</f>
        <v>-49600</v>
      </c>
      <c r="K39" s="47"/>
      <c r="L39" s="57">
        <v>-49600.0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2:C2"/>
    <mergeCell ref="A6:B6"/>
    <mergeCell ref="A7:B7"/>
    <mergeCell ref="A8:B8"/>
  </mergeCells>
  <conditionalFormatting sqref="J13:J16 J22:J25 J29:J30 J34">
    <cfRule type="cellIs" dxfId="0" priority="1" operator="greaterThan">
      <formula>L13</formula>
    </cfRule>
  </conditionalFormatting>
  <conditionalFormatting sqref="J13:J16 J22:J25 J29:J30 J34">
    <cfRule type="cellIs" dxfId="1" priority="2" operator="lessThan">
      <formula>L13</formula>
    </cfRule>
  </conditionalFormatting>
  <conditionalFormatting sqref="J8 L8">
    <cfRule type="cellIs" dxfId="1" priority="3" operator="lessThan">
      <formula>0</formula>
    </cfRule>
  </conditionalFormatting>
  <conditionalFormatting sqref="J8 L8">
    <cfRule type="cellIs" dxfId="0" priority="4" operator="greaterThan">
      <formula>0</formula>
    </cfRule>
  </conditionalFormatting>
  <conditionalFormatting sqref="J8 L8">
    <cfRule type="cellIs" dxfId="2" priority="5" operator="equal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  <col customWidth="1" min="12" max="12" width="18.25"/>
  </cols>
  <sheetData>
    <row r="1" ht="15.75" customHeight="1">
      <c r="A1" s="40" t="s">
        <v>50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421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J34</f>
        <v>4000</v>
      </c>
      <c r="K7" s="42"/>
      <c r="L7" s="37">
        <v>5000.0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-4000</v>
      </c>
      <c r="K8" s="42"/>
      <c r="L8" s="37">
        <v>-5000.0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4330.0</v>
      </c>
      <c r="B14" s="52" t="s">
        <v>422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49"/>
      <c r="Z14" s="49"/>
    </row>
    <row r="15" ht="15.75" customHeight="1">
      <c r="A15" s="43"/>
      <c r="B15" s="43" t="s">
        <v>423</v>
      </c>
      <c r="C15" s="43"/>
      <c r="D15" s="43"/>
      <c r="E15" s="43"/>
      <c r="F15" s="43"/>
      <c r="G15" s="43"/>
      <c r="H15" s="43"/>
      <c r="I15" s="43"/>
      <c r="J15" s="16">
        <v>1000.0</v>
      </c>
      <c r="K15" s="43"/>
      <c r="L15" s="16">
        <v>1000.0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1000</v>
      </c>
      <c r="K16" s="81"/>
      <c r="L16" s="82">
        <v>1000.0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52"/>
      <c r="D17" s="52"/>
      <c r="E17" s="52"/>
      <c r="F17" s="52"/>
      <c r="G17" s="52"/>
      <c r="H17" s="52"/>
      <c r="I17" s="52"/>
      <c r="J17" s="73"/>
      <c r="K17" s="52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96">
        <v>5900.0</v>
      </c>
      <c r="B18" s="10" t="s">
        <v>424</v>
      </c>
      <c r="C18" s="2"/>
      <c r="D18" s="2"/>
      <c r="E18" s="2"/>
      <c r="F18" s="2"/>
      <c r="G18" s="2"/>
      <c r="H18" s="2"/>
      <c r="I18" s="2"/>
      <c r="J18" s="9"/>
      <c r="K18" s="2"/>
      <c r="L18" s="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2"/>
      <c r="B19" s="97" t="s">
        <v>372</v>
      </c>
      <c r="C19" s="97"/>
      <c r="D19" s="97"/>
      <c r="E19" s="97"/>
      <c r="F19" s="97"/>
      <c r="G19" s="97"/>
      <c r="H19" s="97"/>
      <c r="I19" s="97"/>
      <c r="J19" s="98"/>
      <c r="K19" s="97"/>
      <c r="L19" s="98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2"/>
      <c r="B20" s="10" t="s">
        <v>147</v>
      </c>
      <c r="C20" s="2"/>
      <c r="D20" s="2"/>
      <c r="E20" s="2"/>
      <c r="F20" s="2"/>
      <c r="G20" s="2"/>
      <c r="H20" s="2"/>
      <c r="I20" s="2"/>
      <c r="J20" s="37">
        <f>SUM(J19)</f>
        <v>0</v>
      </c>
      <c r="K20" s="2"/>
      <c r="L20" s="37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7610.0</v>
      </c>
      <c r="B22" s="52" t="s">
        <v>425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49"/>
      <c r="Z22" s="49"/>
    </row>
    <row r="23" ht="15.75" customHeight="1">
      <c r="A23" s="43"/>
      <c r="B23" s="43" t="s">
        <v>426</v>
      </c>
      <c r="C23" s="43"/>
      <c r="D23" s="43"/>
      <c r="E23" s="43"/>
      <c r="F23" s="43">
        <v>0.0</v>
      </c>
      <c r="G23" s="2" t="s">
        <v>155</v>
      </c>
      <c r="H23" s="90">
        <v>50.0</v>
      </c>
      <c r="I23" s="84" t="s">
        <v>119</v>
      </c>
      <c r="J23" s="16">
        <f>F23*H23</f>
        <v>0</v>
      </c>
      <c r="K23" s="43"/>
      <c r="L23" s="16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81" t="s">
        <v>147</v>
      </c>
      <c r="C24" s="81"/>
      <c r="D24" s="81"/>
      <c r="E24" s="81"/>
      <c r="F24" s="81"/>
      <c r="G24" s="81"/>
      <c r="H24" s="81"/>
      <c r="I24" s="81"/>
      <c r="J24" s="82">
        <f>SUM(J23)</f>
        <v>0</v>
      </c>
      <c r="K24" s="81"/>
      <c r="L24" s="82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80">
        <v>7691.0</v>
      </c>
      <c r="B26" s="52" t="s">
        <v>427</v>
      </c>
      <c r="C26" s="52"/>
      <c r="D26" s="52"/>
      <c r="E26" s="52"/>
      <c r="F26" s="52"/>
      <c r="G26" s="52"/>
      <c r="H26" s="52"/>
      <c r="I26" s="52"/>
      <c r="J26" s="73"/>
      <c r="K26" s="52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428</v>
      </c>
      <c r="C27" s="43"/>
      <c r="D27" s="43"/>
      <c r="E27" s="43"/>
      <c r="F27" s="43"/>
      <c r="G27" s="43"/>
      <c r="H27" s="43"/>
      <c r="I27" s="43"/>
      <c r="J27" s="59">
        <v>3000.0</v>
      </c>
      <c r="K27" s="43"/>
      <c r="L27" s="16">
        <v>4000.0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81" t="s">
        <v>147</v>
      </c>
      <c r="C28" s="81"/>
      <c r="D28" s="81"/>
      <c r="E28" s="81"/>
      <c r="F28" s="81"/>
      <c r="G28" s="81"/>
      <c r="H28" s="81"/>
      <c r="I28" s="81"/>
      <c r="J28" s="82">
        <f>SUM(J27)</f>
        <v>3000</v>
      </c>
      <c r="K28" s="81"/>
      <c r="L28" s="82">
        <v>4000.0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52"/>
      <c r="C29" s="52"/>
      <c r="D29" s="52"/>
      <c r="E29" s="52"/>
      <c r="F29" s="52"/>
      <c r="G29" s="52"/>
      <c r="H29" s="52"/>
      <c r="I29" s="52"/>
      <c r="J29" s="73"/>
      <c r="K29" s="52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80">
        <v>8610.0</v>
      </c>
      <c r="B30" s="52" t="s">
        <v>419</v>
      </c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429</v>
      </c>
      <c r="C31" s="43"/>
      <c r="D31" s="43"/>
      <c r="E31" s="43"/>
      <c r="F31" s="43"/>
      <c r="G31" s="43"/>
      <c r="H31" s="16"/>
      <c r="I31" s="43"/>
      <c r="J31" s="16">
        <v>0.0</v>
      </c>
      <c r="K31" s="16"/>
      <c r="L31" s="16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81" t="s">
        <v>147</v>
      </c>
      <c r="C32" s="81"/>
      <c r="D32" s="81"/>
      <c r="E32" s="81"/>
      <c r="F32" s="81"/>
      <c r="G32" s="81"/>
      <c r="H32" s="81"/>
      <c r="I32" s="81"/>
      <c r="J32" s="82">
        <f>SUM(J31)</f>
        <v>0</v>
      </c>
      <c r="K32" s="81"/>
      <c r="L32" s="82">
        <v>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16"/>
      <c r="K33" s="43"/>
      <c r="L33" s="16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7"/>
      <c r="B34" s="47" t="s">
        <v>4</v>
      </c>
      <c r="C34" s="47"/>
      <c r="D34" s="47"/>
      <c r="E34" s="47"/>
      <c r="F34" s="47"/>
      <c r="G34" s="47"/>
      <c r="H34" s="47"/>
      <c r="I34" s="47"/>
      <c r="J34" s="57">
        <f>SUM(J13:J33)/2</f>
        <v>4000</v>
      </c>
      <c r="K34" s="47"/>
      <c r="L34" s="57">
        <v>5000.0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7"/>
      <c r="B36" s="47" t="s">
        <v>5</v>
      </c>
      <c r="C36" s="47"/>
      <c r="D36" s="47"/>
      <c r="E36" s="47"/>
      <c r="F36" s="47"/>
      <c r="G36" s="47"/>
      <c r="H36" s="47"/>
      <c r="I36" s="47"/>
      <c r="J36" s="57">
        <f>J12-J34</f>
        <v>-4000</v>
      </c>
      <c r="K36" s="47"/>
      <c r="L36" s="57">
        <v>-5000.0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9"/>
      <c r="K202" s="49"/>
      <c r="L202" s="99"/>
      <c r="M202" s="49"/>
      <c r="N202" s="49"/>
      <c r="O202" s="49"/>
      <c r="P202" s="49"/>
      <c r="Q202" s="49"/>
      <c r="R202" s="49"/>
      <c r="S202" s="49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9"/>
      <c r="K203" s="49"/>
      <c r="L203" s="99"/>
      <c r="M203" s="49"/>
      <c r="N203" s="49"/>
      <c r="O203" s="49"/>
      <c r="P203" s="49"/>
      <c r="Q203" s="49"/>
      <c r="R203" s="49"/>
      <c r="S203" s="49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9"/>
      <c r="K204" s="49"/>
      <c r="L204" s="99"/>
      <c r="M204" s="49"/>
      <c r="N204" s="49"/>
      <c r="O204" s="49"/>
      <c r="P204" s="49"/>
      <c r="Q204" s="49"/>
      <c r="R204" s="49"/>
      <c r="S204" s="49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9"/>
      <c r="K205" s="49"/>
      <c r="L205" s="99"/>
      <c r="M205" s="49"/>
      <c r="N205" s="49"/>
      <c r="O205" s="49"/>
      <c r="P205" s="49"/>
      <c r="Q205" s="49"/>
      <c r="R205" s="49"/>
      <c r="S205" s="49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9"/>
      <c r="K206" s="49"/>
      <c r="L206" s="99"/>
      <c r="M206" s="49"/>
      <c r="N206" s="49"/>
      <c r="O206" s="49"/>
      <c r="P206" s="49"/>
      <c r="Q206" s="49"/>
      <c r="R206" s="49"/>
      <c r="S206" s="49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9"/>
      <c r="K207" s="49"/>
      <c r="L207" s="99"/>
      <c r="M207" s="49"/>
      <c r="N207" s="49"/>
      <c r="O207" s="49"/>
      <c r="P207" s="49"/>
      <c r="Q207" s="49"/>
      <c r="R207" s="49"/>
      <c r="S207" s="49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9"/>
      <c r="K208" s="49"/>
      <c r="L208" s="99"/>
      <c r="M208" s="49"/>
      <c r="N208" s="49"/>
      <c r="O208" s="49"/>
      <c r="P208" s="49"/>
      <c r="Q208" s="49"/>
      <c r="R208" s="49"/>
      <c r="S208" s="49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9"/>
      <c r="K209" s="49"/>
      <c r="L209" s="99"/>
      <c r="M209" s="49"/>
      <c r="N209" s="49"/>
      <c r="O209" s="49"/>
      <c r="P209" s="49"/>
      <c r="Q209" s="49"/>
      <c r="R209" s="49"/>
      <c r="S209" s="49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9"/>
      <c r="K210" s="49"/>
      <c r="L210" s="99"/>
      <c r="M210" s="49"/>
      <c r="N210" s="49"/>
      <c r="O210" s="49"/>
      <c r="P210" s="49"/>
      <c r="Q210" s="49"/>
      <c r="R210" s="49"/>
      <c r="S210" s="49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9"/>
      <c r="K211" s="49"/>
      <c r="L211" s="99"/>
      <c r="M211" s="49"/>
      <c r="N211" s="49"/>
      <c r="O211" s="49"/>
      <c r="P211" s="49"/>
      <c r="Q211" s="49"/>
      <c r="R211" s="49"/>
      <c r="S211" s="49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9"/>
      <c r="K212" s="49"/>
      <c r="L212" s="99"/>
      <c r="M212" s="49"/>
      <c r="N212" s="49"/>
      <c r="O212" s="49"/>
      <c r="P212" s="49"/>
      <c r="Q212" s="49"/>
      <c r="R212" s="49"/>
      <c r="S212" s="49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9"/>
      <c r="K213" s="49"/>
      <c r="L213" s="99"/>
      <c r="M213" s="49"/>
      <c r="N213" s="49"/>
      <c r="O213" s="49"/>
      <c r="P213" s="49"/>
      <c r="Q213" s="49"/>
      <c r="R213" s="49"/>
      <c r="S213" s="49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9"/>
      <c r="K214" s="49"/>
      <c r="L214" s="99"/>
      <c r="M214" s="49"/>
      <c r="N214" s="49"/>
      <c r="O214" s="49"/>
      <c r="P214" s="49"/>
      <c r="Q214" s="49"/>
      <c r="R214" s="49"/>
      <c r="S214" s="49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9"/>
      <c r="K215" s="49"/>
      <c r="L215" s="99"/>
      <c r="M215" s="49"/>
      <c r="N215" s="49"/>
      <c r="O215" s="49"/>
      <c r="P215" s="49"/>
      <c r="Q215" s="49"/>
      <c r="R215" s="49"/>
      <c r="S215" s="49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9"/>
      <c r="K216" s="49"/>
      <c r="L216" s="99"/>
      <c r="M216" s="49"/>
      <c r="N216" s="49"/>
      <c r="O216" s="49"/>
      <c r="P216" s="49"/>
      <c r="Q216" s="49"/>
      <c r="R216" s="49"/>
      <c r="S216" s="49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9"/>
      <c r="K217" s="49"/>
      <c r="L217" s="99"/>
      <c r="M217" s="49"/>
      <c r="N217" s="49"/>
      <c r="O217" s="49"/>
      <c r="P217" s="49"/>
      <c r="Q217" s="49"/>
      <c r="R217" s="49"/>
      <c r="S217" s="49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9"/>
      <c r="K218" s="49"/>
      <c r="L218" s="99"/>
      <c r="M218" s="49"/>
      <c r="N218" s="49"/>
      <c r="O218" s="49"/>
      <c r="P218" s="49"/>
      <c r="Q218" s="49"/>
      <c r="R218" s="49"/>
      <c r="S218" s="49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9"/>
      <c r="K219" s="49"/>
      <c r="L219" s="99"/>
      <c r="M219" s="49"/>
      <c r="N219" s="49"/>
      <c r="O219" s="49"/>
      <c r="P219" s="49"/>
      <c r="Q219" s="49"/>
      <c r="R219" s="49"/>
      <c r="S219" s="49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9"/>
      <c r="K220" s="49"/>
      <c r="L220" s="99"/>
      <c r="M220" s="49"/>
      <c r="N220" s="49"/>
      <c r="O220" s="49"/>
      <c r="P220" s="49"/>
      <c r="Q220" s="49"/>
      <c r="R220" s="49"/>
      <c r="S220" s="49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9"/>
      <c r="K221" s="49"/>
      <c r="L221" s="99"/>
      <c r="M221" s="49"/>
      <c r="N221" s="49"/>
      <c r="O221" s="49"/>
      <c r="P221" s="49"/>
      <c r="Q221" s="49"/>
      <c r="R221" s="49"/>
      <c r="S221" s="49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9"/>
      <c r="K222" s="49"/>
      <c r="L222" s="99"/>
      <c r="M222" s="49"/>
      <c r="N222" s="49"/>
      <c r="O222" s="49"/>
      <c r="P222" s="49"/>
      <c r="Q222" s="49"/>
      <c r="R222" s="49"/>
      <c r="S222" s="49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9"/>
      <c r="K223" s="49"/>
      <c r="L223" s="99"/>
      <c r="M223" s="49"/>
      <c r="N223" s="49"/>
      <c r="O223" s="49"/>
      <c r="P223" s="49"/>
      <c r="Q223" s="49"/>
      <c r="R223" s="49"/>
      <c r="S223" s="49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9"/>
      <c r="K224" s="49"/>
      <c r="L224" s="99"/>
      <c r="M224" s="49"/>
      <c r="N224" s="49"/>
      <c r="O224" s="49"/>
      <c r="P224" s="49"/>
      <c r="Q224" s="49"/>
      <c r="R224" s="49"/>
      <c r="S224" s="49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9"/>
      <c r="K225" s="49"/>
      <c r="L225" s="99"/>
      <c r="M225" s="49"/>
      <c r="N225" s="49"/>
      <c r="O225" s="49"/>
      <c r="P225" s="49"/>
      <c r="Q225" s="49"/>
      <c r="R225" s="49"/>
      <c r="S225" s="49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9"/>
      <c r="K226" s="49"/>
      <c r="L226" s="99"/>
      <c r="M226" s="49"/>
      <c r="N226" s="49"/>
      <c r="O226" s="49"/>
      <c r="P226" s="49"/>
      <c r="Q226" s="49"/>
      <c r="R226" s="49"/>
      <c r="S226" s="49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9"/>
      <c r="K227" s="49"/>
      <c r="L227" s="99"/>
      <c r="M227" s="49"/>
      <c r="N227" s="49"/>
      <c r="O227" s="49"/>
      <c r="P227" s="49"/>
      <c r="Q227" s="49"/>
      <c r="R227" s="49"/>
      <c r="S227" s="49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9"/>
      <c r="K228" s="49"/>
      <c r="L228" s="99"/>
      <c r="M228" s="49"/>
      <c r="N228" s="49"/>
      <c r="O228" s="49"/>
      <c r="P228" s="49"/>
      <c r="Q228" s="49"/>
      <c r="R228" s="49"/>
      <c r="S228" s="49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9"/>
      <c r="K229" s="49"/>
      <c r="L229" s="99"/>
      <c r="M229" s="49"/>
      <c r="N229" s="49"/>
      <c r="O229" s="49"/>
      <c r="P229" s="49"/>
      <c r="Q229" s="49"/>
      <c r="R229" s="49"/>
      <c r="S229" s="49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9"/>
      <c r="K230" s="49"/>
      <c r="L230" s="99"/>
      <c r="M230" s="49"/>
      <c r="N230" s="49"/>
      <c r="O230" s="49"/>
      <c r="P230" s="49"/>
      <c r="Q230" s="49"/>
      <c r="R230" s="49"/>
      <c r="S230" s="49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9"/>
      <c r="K231" s="49"/>
      <c r="L231" s="99"/>
      <c r="M231" s="49"/>
      <c r="N231" s="49"/>
      <c r="O231" s="49"/>
      <c r="P231" s="49"/>
      <c r="Q231" s="49"/>
      <c r="R231" s="49"/>
      <c r="S231" s="49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9"/>
      <c r="K232" s="49"/>
      <c r="L232" s="99"/>
      <c r="M232" s="49"/>
      <c r="N232" s="49"/>
      <c r="O232" s="49"/>
      <c r="P232" s="49"/>
      <c r="Q232" s="49"/>
      <c r="R232" s="49"/>
      <c r="S232" s="49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9"/>
      <c r="K233" s="49"/>
      <c r="L233" s="99"/>
      <c r="M233" s="49"/>
      <c r="N233" s="49"/>
      <c r="O233" s="49"/>
      <c r="P233" s="49"/>
      <c r="Q233" s="49"/>
      <c r="R233" s="49"/>
      <c r="S233" s="49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9"/>
      <c r="K234" s="49"/>
      <c r="L234" s="99"/>
      <c r="M234" s="49"/>
      <c r="N234" s="49"/>
      <c r="O234" s="49"/>
      <c r="P234" s="49"/>
      <c r="Q234" s="49"/>
      <c r="R234" s="49"/>
      <c r="S234" s="49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9"/>
      <c r="K235" s="49"/>
      <c r="L235" s="99"/>
      <c r="M235" s="49"/>
      <c r="N235" s="49"/>
      <c r="O235" s="49"/>
      <c r="P235" s="49"/>
      <c r="Q235" s="49"/>
      <c r="R235" s="49"/>
      <c r="S235" s="49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9"/>
      <c r="K236" s="49"/>
      <c r="L236" s="99"/>
      <c r="M236" s="49"/>
      <c r="N236" s="49"/>
      <c r="O236" s="49"/>
      <c r="P236" s="49"/>
      <c r="Q236" s="49"/>
      <c r="R236" s="49"/>
      <c r="S236" s="49"/>
      <c r="T236" s="43"/>
      <c r="U236" s="43"/>
      <c r="V236" s="43"/>
      <c r="W236" s="43"/>
      <c r="X236" s="43"/>
    </row>
    <row r="237" ht="15.75" customHeight="1">
      <c r="J237" s="49"/>
      <c r="K237" s="49"/>
      <c r="L237" s="49"/>
      <c r="M237" s="49"/>
      <c r="N237" s="49"/>
      <c r="O237" s="49"/>
      <c r="P237" s="49"/>
      <c r="Q237" s="49"/>
      <c r="R237" s="49"/>
      <c r="S237" s="49"/>
    </row>
    <row r="238" ht="15.75" customHeight="1">
      <c r="J238" s="49"/>
      <c r="K238" s="49"/>
      <c r="L238" s="49"/>
      <c r="M238" s="49"/>
      <c r="N238" s="49"/>
      <c r="O238" s="49"/>
      <c r="P238" s="49"/>
      <c r="Q238" s="49"/>
      <c r="R238" s="49"/>
      <c r="S238" s="49"/>
    </row>
    <row r="239" ht="15.75" customHeight="1">
      <c r="J239" s="49"/>
      <c r="K239" s="49"/>
      <c r="L239" s="49"/>
      <c r="M239" s="49"/>
      <c r="N239" s="49"/>
      <c r="O239" s="49"/>
      <c r="P239" s="49"/>
      <c r="Q239" s="49"/>
      <c r="R239" s="49"/>
      <c r="S239" s="49"/>
    </row>
    <row r="240" ht="15.75" customHeight="1">
      <c r="J240" s="49"/>
      <c r="K240" s="49"/>
      <c r="L240" s="49"/>
      <c r="M240" s="49"/>
      <c r="N240" s="49"/>
      <c r="O240" s="49"/>
      <c r="P240" s="49"/>
      <c r="Q240" s="49"/>
      <c r="R240" s="49"/>
      <c r="S240" s="49"/>
    </row>
    <row r="241" ht="15.75" customHeight="1">
      <c r="J241" s="49"/>
      <c r="K241" s="49"/>
      <c r="L241" s="49"/>
      <c r="M241" s="49"/>
      <c r="N241" s="49"/>
      <c r="O241" s="49"/>
      <c r="P241" s="49"/>
      <c r="Q241" s="49"/>
      <c r="R241" s="49"/>
      <c r="S241" s="49"/>
    </row>
    <row r="242" ht="15.75" customHeight="1">
      <c r="J242" s="49"/>
      <c r="K242" s="49"/>
      <c r="L242" s="49"/>
      <c r="M242" s="49"/>
      <c r="N242" s="49"/>
      <c r="O242" s="49"/>
      <c r="P242" s="49"/>
      <c r="Q242" s="49"/>
      <c r="R242" s="49"/>
      <c r="S242" s="49"/>
    </row>
    <row r="243" ht="15.75" customHeight="1">
      <c r="J243" s="49"/>
      <c r="K243" s="49"/>
      <c r="L243" s="49"/>
      <c r="M243" s="49"/>
      <c r="N243" s="49"/>
      <c r="O243" s="49"/>
      <c r="P243" s="49"/>
      <c r="Q243" s="49"/>
      <c r="R243" s="49"/>
      <c r="S243" s="49"/>
    </row>
    <row r="244" ht="15.75" customHeight="1">
      <c r="J244" s="49"/>
      <c r="K244" s="49"/>
      <c r="L244" s="49"/>
      <c r="M244" s="49"/>
      <c r="N244" s="49"/>
      <c r="O244" s="49"/>
      <c r="P244" s="49"/>
      <c r="Q244" s="49"/>
      <c r="R244" s="49"/>
      <c r="S244" s="49"/>
    </row>
    <row r="245" ht="15.75" customHeight="1">
      <c r="J245" s="49"/>
      <c r="K245" s="49"/>
      <c r="L245" s="49"/>
      <c r="M245" s="49"/>
      <c r="N245" s="49"/>
      <c r="O245" s="49"/>
      <c r="P245" s="49"/>
      <c r="Q245" s="49"/>
      <c r="R245" s="49"/>
      <c r="S245" s="49"/>
    </row>
    <row r="246" ht="15.75" customHeight="1">
      <c r="J246" s="49"/>
      <c r="K246" s="49"/>
      <c r="L246" s="49"/>
      <c r="M246" s="49"/>
      <c r="N246" s="49"/>
      <c r="O246" s="49"/>
      <c r="P246" s="49"/>
      <c r="Q246" s="49"/>
      <c r="R246" s="49"/>
      <c r="S246" s="49"/>
    </row>
    <row r="247" ht="15.75" customHeight="1">
      <c r="J247" s="49"/>
      <c r="K247" s="49"/>
      <c r="L247" s="49"/>
      <c r="M247" s="49"/>
      <c r="N247" s="49"/>
      <c r="O247" s="49"/>
      <c r="P247" s="49"/>
      <c r="Q247" s="49"/>
      <c r="R247" s="49"/>
      <c r="S247" s="49"/>
    </row>
    <row r="248" ht="15.75" customHeight="1">
      <c r="J248" s="49"/>
      <c r="K248" s="49"/>
      <c r="L248" s="49"/>
      <c r="M248" s="49"/>
      <c r="N248" s="49"/>
      <c r="O248" s="49"/>
      <c r="P248" s="49"/>
      <c r="Q248" s="49"/>
      <c r="R248" s="49"/>
      <c r="S248" s="49"/>
    </row>
    <row r="249" ht="15.75" customHeight="1">
      <c r="J249" s="49"/>
      <c r="K249" s="49"/>
      <c r="L249" s="49"/>
      <c r="M249" s="49"/>
      <c r="N249" s="49"/>
      <c r="O249" s="49"/>
      <c r="P249" s="49"/>
      <c r="Q249" s="49"/>
      <c r="R249" s="49"/>
      <c r="S249" s="49"/>
    </row>
    <row r="250" ht="15.75" customHeight="1">
      <c r="J250" s="49"/>
      <c r="K250" s="49"/>
      <c r="L250" s="49"/>
      <c r="M250" s="49"/>
      <c r="N250" s="49"/>
      <c r="O250" s="49"/>
      <c r="P250" s="49"/>
      <c r="Q250" s="49"/>
      <c r="R250" s="49"/>
      <c r="S250" s="49"/>
    </row>
    <row r="251" ht="15.75" customHeight="1">
      <c r="J251" s="49"/>
      <c r="K251" s="49"/>
      <c r="L251" s="49"/>
      <c r="M251" s="49"/>
      <c r="N251" s="49"/>
      <c r="O251" s="49"/>
      <c r="P251" s="49"/>
      <c r="Q251" s="49"/>
      <c r="R251" s="49"/>
      <c r="S251" s="49"/>
    </row>
    <row r="252" ht="15.75" customHeight="1">
      <c r="J252" s="49"/>
      <c r="K252" s="49"/>
      <c r="L252" s="49"/>
      <c r="M252" s="49"/>
      <c r="N252" s="49"/>
      <c r="O252" s="49"/>
      <c r="P252" s="49"/>
      <c r="Q252" s="49"/>
      <c r="R252" s="49"/>
      <c r="S252" s="49"/>
    </row>
    <row r="253" ht="15.75" customHeight="1">
      <c r="J253" s="49"/>
      <c r="K253" s="49"/>
      <c r="L253" s="49"/>
      <c r="M253" s="49"/>
      <c r="N253" s="49"/>
      <c r="O253" s="49"/>
      <c r="P253" s="49"/>
      <c r="Q253" s="49"/>
      <c r="R253" s="49"/>
      <c r="S253" s="49"/>
    </row>
    <row r="254" ht="15.75" customHeight="1">
      <c r="J254" s="49"/>
      <c r="K254" s="49"/>
      <c r="L254" s="49"/>
      <c r="M254" s="49"/>
      <c r="N254" s="49"/>
      <c r="O254" s="49"/>
      <c r="P254" s="49"/>
      <c r="Q254" s="49"/>
      <c r="R254" s="49"/>
      <c r="S254" s="49"/>
    </row>
    <row r="255" ht="15.75" customHeight="1">
      <c r="J255" s="49"/>
      <c r="K255" s="49"/>
      <c r="L255" s="49"/>
      <c r="M255" s="49"/>
      <c r="N255" s="49"/>
      <c r="O255" s="49"/>
      <c r="P255" s="49"/>
      <c r="Q255" s="49"/>
      <c r="R255" s="49"/>
      <c r="S255" s="49"/>
    </row>
    <row r="256" ht="15.75" customHeight="1">
      <c r="J256" s="49"/>
      <c r="K256" s="49"/>
      <c r="L256" s="49"/>
      <c r="M256" s="49"/>
      <c r="N256" s="49"/>
      <c r="O256" s="49"/>
      <c r="P256" s="49"/>
      <c r="Q256" s="49"/>
      <c r="R256" s="49"/>
      <c r="S256" s="49"/>
    </row>
    <row r="257" ht="15.75" customHeight="1">
      <c r="J257" s="49"/>
      <c r="K257" s="49"/>
      <c r="L257" s="49"/>
      <c r="M257" s="49"/>
      <c r="N257" s="49"/>
      <c r="O257" s="49"/>
      <c r="P257" s="49"/>
      <c r="Q257" s="49"/>
      <c r="R257" s="49"/>
      <c r="S257" s="49"/>
    </row>
    <row r="258" ht="15.75" customHeight="1">
      <c r="J258" s="49"/>
      <c r="K258" s="49"/>
      <c r="L258" s="49"/>
      <c r="M258" s="49"/>
      <c r="N258" s="49"/>
      <c r="O258" s="49"/>
      <c r="P258" s="49"/>
      <c r="Q258" s="49"/>
      <c r="R258" s="49"/>
      <c r="S258" s="49"/>
    </row>
    <row r="259" ht="15.75" customHeight="1">
      <c r="J259" s="49"/>
      <c r="K259" s="49"/>
      <c r="L259" s="49"/>
      <c r="M259" s="49"/>
      <c r="N259" s="49"/>
      <c r="O259" s="49"/>
      <c r="P259" s="49"/>
      <c r="Q259" s="49"/>
      <c r="R259" s="49"/>
      <c r="S259" s="49"/>
    </row>
    <row r="260" ht="15.75" customHeight="1">
      <c r="J260" s="49"/>
      <c r="K260" s="49"/>
      <c r="L260" s="49"/>
      <c r="M260" s="49"/>
      <c r="N260" s="49"/>
      <c r="O260" s="49"/>
      <c r="P260" s="49"/>
      <c r="Q260" s="49"/>
      <c r="R260" s="49"/>
      <c r="S260" s="49"/>
    </row>
    <row r="261" ht="15.75" customHeight="1">
      <c r="J261" s="49"/>
      <c r="K261" s="49"/>
      <c r="L261" s="49"/>
      <c r="M261" s="49"/>
      <c r="N261" s="49"/>
      <c r="O261" s="49"/>
      <c r="P261" s="49"/>
      <c r="Q261" s="49"/>
      <c r="R261" s="49"/>
      <c r="S261" s="49"/>
    </row>
    <row r="262" ht="15.75" customHeight="1">
      <c r="J262" s="49"/>
      <c r="K262" s="49"/>
      <c r="L262" s="49"/>
      <c r="M262" s="49"/>
      <c r="N262" s="49"/>
      <c r="O262" s="49"/>
      <c r="P262" s="49"/>
      <c r="Q262" s="49"/>
      <c r="R262" s="49"/>
      <c r="S262" s="49"/>
    </row>
    <row r="263" ht="15.75" customHeight="1">
      <c r="J263" s="49"/>
      <c r="K263" s="49"/>
      <c r="L263" s="49"/>
      <c r="M263" s="49"/>
      <c r="N263" s="49"/>
      <c r="O263" s="49"/>
      <c r="P263" s="49"/>
      <c r="Q263" s="49"/>
      <c r="R263" s="49"/>
      <c r="S263" s="49"/>
    </row>
    <row r="264" ht="15.75" customHeight="1">
      <c r="J264" s="49"/>
      <c r="K264" s="49"/>
      <c r="L264" s="49"/>
      <c r="M264" s="49"/>
      <c r="N264" s="49"/>
      <c r="O264" s="49"/>
      <c r="P264" s="49"/>
      <c r="Q264" s="49"/>
      <c r="R264" s="49"/>
      <c r="S264" s="49"/>
    </row>
    <row r="265" ht="15.75" customHeight="1">
      <c r="J265" s="49"/>
      <c r="K265" s="49"/>
      <c r="L265" s="49"/>
      <c r="M265" s="49"/>
      <c r="N265" s="49"/>
      <c r="O265" s="49"/>
      <c r="P265" s="49"/>
      <c r="Q265" s="49"/>
      <c r="R265" s="49"/>
      <c r="S265" s="49"/>
    </row>
    <row r="266" ht="15.75" customHeight="1">
      <c r="J266" s="49"/>
      <c r="K266" s="49"/>
      <c r="L266" s="49"/>
      <c r="M266" s="49"/>
      <c r="N266" s="49"/>
      <c r="O266" s="49"/>
      <c r="P266" s="49"/>
      <c r="Q266" s="49"/>
      <c r="R266" s="49"/>
      <c r="S266" s="49"/>
    </row>
    <row r="267" ht="15.75" customHeight="1">
      <c r="J267" s="49"/>
      <c r="K267" s="49"/>
      <c r="L267" s="49"/>
      <c r="M267" s="49"/>
      <c r="N267" s="49"/>
      <c r="O267" s="49"/>
      <c r="P267" s="49"/>
      <c r="Q267" s="49"/>
      <c r="R267" s="49"/>
      <c r="S267" s="49"/>
    </row>
    <row r="268" ht="15.75" customHeight="1">
      <c r="J268" s="49"/>
      <c r="K268" s="49"/>
      <c r="L268" s="49"/>
      <c r="M268" s="49"/>
      <c r="N268" s="49"/>
      <c r="O268" s="49"/>
      <c r="P268" s="49"/>
      <c r="Q268" s="49"/>
      <c r="R268" s="49"/>
      <c r="S268" s="49"/>
    </row>
    <row r="269" ht="15.75" customHeight="1">
      <c r="J269" s="49"/>
      <c r="K269" s="49"/>
      <c r="L269" s="49"/>
      <c r="M269" s="49"/>
      <c r="N269" s="49"/>
      <c r="O269" s="49"/>
      <c r="P269" s="49"/>
      <c r="Q269" s="49"/>
      <c r="R269" s="49"/>
      <c r="S269" s="49"/>
    </row>
    <row r="270" ht="15.75" customHeight="1">
      <c r="J270" s="49"/>
      <c r="K270" s="49"/>
      <c r="L270" s="49"/>
      <c r="M270" s="49"/>
      <c r="N270" s="49"/>
      <c r="O270" s="49"/>
      <c r="P270" s="49"/>
      <c r="Q270" s="49"/>
      <c r="R270" s="49"/>
      <c r="S270" s="49"/>
    </row>
    <row r="271" ht="15.75" customHeight="1">
      <c r="J271" s="49"/>
      <c r="K271" s="49"/>
      <c r="L271" s="49"/>
      <c r="M271" s="49"/>
      <c r="N271" s="49"/>
      <c r="O271" s="49"/>
      <c r="P271" s="49"/>
      <c r="Q271" s="49"/>
      <c r="R271" s="49"/>
      <c r="S271" s="49"/>
    </row>
    <row r="272" ht="15.75" customHeight="1">
      <c r="J272" s="49"/>
      <c r="K272" s="49"/>
      <c r="L272" s="49"/>
      <c r="M272" s="49"/>
      <c r="N272" s="49"/>
      <c r="O272" s="49"/>
      <c r="P272" s="49"/>
      <c r="Q272" s="49"/>
      <c r="R272" s="49"/>
      <c r="S272" s="49"/>
    </row>
    <row r="273" ht="15.75" customHeight="1">
      <c r="J273" s="49"/>
      <c r="K273" s="49"/>
      <c r="L273" s="49"/>
      <c r="M273" s="49"/>
      <c r="N273" s="49"/>
      <c r="O273" s="49"/>
      <c r="P273" s="49"/>
      <c r="Q273" s="49"/>
      <c r="R273" s="49"/>
      <c r="S273" s="49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23 J27 J31">
    <cfRule type="cellIs" dxfId="0" priority="1" operator="greaterThan">
      <formula>L15</formula>
    </cfRule>
  </conditionalFormatting>
  <conditionalFormatting sqref="J15 J23 J27 J31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6.38"/>
    <col customWidth="1" min="12" max="12" width="18.25"/>
  </cols>
  <sheetData>
    <row r="1">
      <c r="A1" s="40" t="s">
        <v>51</v>
      </c>
      <c r="B1" s="40" t="s">
        <v>430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431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J23</f>
        <v>23000</v>
      </c>
      <c r="K7" s="42"/>
      <c r="L7" s="37">
        <v>23000.0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-23000</v>
      </c>
      <c r="K8" s="42"/>
      <c r="L8" s="37">
        <v>-23000.0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4000.0</v>
      </c>
      <c r="B14" s="52" t="s">
        <v>176</v>
      </c>
      <c r="C14" s="52"/>
      <c r="D14" s="52"/>
      <c r="E14" s="52"/>
      <c r="F14" s="52"/>
      <c r="G14" s="52"/>
      <c r="H14" s="52"/>
      <c r="I14" s="52"/>
      <c r="J14" s="73"/>
      <c r="K14" s="52"/>
      <c r="L14" s="73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49"/>
      <c r="Z14" s="49"/>
    </row>
    <row r="15" ht="15.75" customHeight="1">
      <c r="A15" s="43"/>
      <c r="B15" s="43" t="s">
        <v>370</v>
      </c>
      <c r="C15" s="43"/>
      <c r="D15" s="43"/>
      <c r="E15" s="43"/>
      <c r="F15" s="43">
        <v>0.0</v>
      </c>
      <c r="G15" s="43" t="s">
        <v>155</v>
      </c>
      <c r="H15" s="43">
        <v>4000.0</v>
      </c>
      <c r="I15" s="84" t="s">
        <v>119</v>
      </c>
      <c r="J15" s="16">
        <f>F15*H15</f>
        <v>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0</v>
      </c>
      <c r="K16" s="8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6450.0</v>
      </c>
      <c r="B18" s="52" t="s">
        <v>432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101</v>
      </c>
      <c r="C19" s="43"/>
      <c r="D19" s="43">
        <v>7.0</v>
      </c>
      <c r="E19" s="43" t="s">
        <v>118</v>
      </c>
      <c r="F19" s="43">
        <v>100.0</v>
      </c>
      <c r="G19" s="43" t="s">
        <v>155</v>
      </c>
      <c r="H19" s="59">
        <v>30.0</v>
      </c>
      <c r="I19" s="84" t="s">
        <v>119</v>
      </c>
      <c r="J19" s="16">
        <f>(D19*F19)*H19</f>
        <v>21000</v>
      </c>
      <c r="K19" s="43"/>
      <c r="L19" s="16">
        <v>21000.0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215</v>
      </c>
      <c r="C20" s="43"/>
      <c r="D20" s="43"/>
      <c r="E20" s="43"/>
      <c r="F20" s="43"/>
      <c r="G20" s="43"/>
      <c r="H20" s="43"/>
      <c r="I20" s="43"/>
      <c r="J20" s="16">
        <v>2000.0</v>
      </c>
      <c r="K20" s="43"/>
      <c r="L20" s="16">
        <v>2000.0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81" t="s">
        <v>147</v>
      </c>
      <c r="C21" s="81"/>
      <c r="D21" s="81"/>
      <c r="E21" s="81"/>
      <c r="F21" s="81"/>
      <c r="G21" s="81"/>
      <c r="H21" s="81"/>
      <c r="I21" s="81"/>
      <c r="J21" s="82">
        <f>SUM(J19:J20)</f>
        <v>23000</v>
      </c>
      <c r="K21" s="81"/>
      <c r="L21" s="82">
        <v>23000.0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7"/>
      <c r="B23" s="47" t="s">
        <v>4</v>
      </c>
      <c r="C23" s="47"/>
      <c r="D23" s="47"/>
      <c r="E23" s="47"/>
      <c r="F23" s="47"/>
      <c r="G23" s="47"/>
      <c r="H23" s="47"/>
      <c r="I23" s="47"/>
      <c r="J23" s="57">
        <f>SUM(J13:J22)/2</f>
        <v>23000</v>
      </c>
      <c r="K23" s="47"/>
      <c r="L23" s="57">
        <v>23000.0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49"/>
      <c r="Z23" s="49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16"/>
      <c r="K24" s="43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7"/>
      <c r="B25" s="47" t="s">
        <v>5</v>
      </c>
      <c r="C25" s="47"/>
      <c r="D25" s="47"/>
      <c r="E25" s="47"/>
      <c r="F25" s="47"/>
      <c r="G25" s="47"/>
      <c r="H25" s="47"/>
      <c r="I25" s="47"/>
      <c r="J25" s="57">
        <f>J12-J23</f>
        <v>-23000</v>
      </c>
      <c r="K25" s="47"/>
      <c r="L25" s="57">
        <v>-23000.0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9"/>
      <c r="I194" s="49"/>
      <c r="J194" s="49"/>
      <c r="K194" s="49"/>
      <c r="L194" s="99"/>
      <c r="M194" s="49"/>
      <c r="N194" s="49"/>
      <c r="O194" s="49"/>
      <c r="P194" s="49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9"/>
      <c r="I195" s="49"/>
      <c r="J195" s="49"/>
      <c r="K195" s="49"/>
      <c r="L195" s="99"/>
      <c r="M195" s="49"/>
      <c r="N195" s="49"/>
      <c r="O195" s="49"/>
      <c r="P195" s="49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9"/>
      <c r="I196" s="49"/>
      <c r="J196" s="49"/>
      <c r="K196" s="49"/>
      <c r="L196" s="99"/>
      <c r="M196" s="49"/>
      <c r="N196" s="49"/>
      <c r="O196" s="49"/>
      <c r="P196" s="49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9"/>
      <c r="I197" s="49"/>
      <c r="J197" s="49"/>
      <c r="K197" s="49"/>
      <c r="L197" s="99"/>
      <c r="M197" s="49"/>
      <c r="N197" s="49"/>
      <c r="O197" s="49"/>
      <c r="P197" s="49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9"/>
      <c r="I198" s="49"/>
      <c r="J198" s="49"/>
      <c r="K198" s="49"/>
      <c r="L198" s="99"/>
      <c r="M198" s="49"/>
      <c r="N198" s="49"/>
      <c r="O198" s="49"/>
      <c r="P198" s="49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9"/>
      <c r="I199" s="49"/>
      <c r="J199" s="49"/>
      <c r="K199" s="49"/>
      <c r="L199" s="99"/>
      <c r="M199" s="49"/>
      <c r="N199" s="49"/>
      <c r="O199" s="49"/>
      <c r="P199" s="49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9"/>
      <c r="I200" s="49"/>
      <c r="J200" s="49"/>
      <c r="K200" s="49"/>
      <c r="L200" s="99"/>
      <c r="M200" s="49"/>
      <c r="N200" s="49"/>
      <c r="O200" s="49"/>
      <c r="P200" s="49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9"/>
      <c r="I201" s="49"/>
      <c r="J201" s="49"/>
      <c r="K201" s="49"/>
      <c r="L201" s="99"/>
      <c r="M201" s="49"/>
      <c r="N201" s="49"/>
      <c r="O201" s="49"/>
      <c r="P201" s="49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9"/>
      <c r="I202" s="49"/>
      <c r="J202" s="49"/>
      <c r="K202" s="49"/>
      <c r="L202" s="99"/>
      <c r="M202" s="49"/>
      <c r="N202" s="49"/>
      <c r="O202" s="49"/>
      <c r="P202" s="49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9"/>
      <c r="I203" s="49"/>
      <c r="J203" s="49"/>
      <c r="K203" s="49"/>
      <c r="L203" s="99"/>
      <c r="M203" s="49"/>
      <c r="N203" s="49"/>
      <c r="O203" s="49"/>
      <c r="P203" s="49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9"/>
      <c r="I204" s="49"/>
      <c r="J204" s="49"/>
      <c r="K204" s="49"/>
      <c r="L204" s="99"/>
      <c r="M204" s="49"/>
      <c r="N204" s="49"/>
      <c r="O204" s="49"/>
      <c r="P204" s="49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9"/>
      <c r="I205" s="49"/>
      <c r="J205" s="49"/>
      <c r="K205" s="49"/>
      <c r="L205" s="99"/>
      <c r="M205" s="49"/>
      <c r="N205" s="49"/>
      <c r="O205" s="49"/>
      <c r="P205" s="49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9"/>
      <c r="I206" s="49"/>
      <c r="J206" s="49"/>
      <c r="K206" s="49"/>
      <c r="L206" s="99"/>
      <c r="M206" s="49"/>
      <c r="N206" s="49"/>
      <c r="O206" s="49"/>
      <c r="P206" s="49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9"/>
      <c r="I207" s="49"/>
      <c r="J207" s="49"/>
      <c r="K207" s="49"/>
      <c r="L207" s="99"/>
      <c r="M207" s="49"/>
      <c r="N207" s="49"/>
      <c r="O207" s="49"/>
      <c r="P207" s="49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9"/>
      <c r="I208" s="49"/>
      <c r="J208" s="49"/>
      <c r="K208" s="49"/>
      <c r="L208" s="99"/>
      <c r="M208" s="49"/>
      <c r="N208" s="49"/>
      <c r="O208" s="49"/>
      <c r="P208" s="49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9"/>
      <c r="I209" s="49"/>
      <c r="J209" s="49"/>
      <c r="K209" s="49"/>
      <c r="L209" s="99"/>
      <c r="M209" s="49"/>
      <c r="N209" s="49"/>
      <c r="O209" s="49"/>
      <c r="P209" s="49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9"/>
      <c r="I210" s="49"/>
      <c r="J210" s="49"/>
      <c r="K210" s="49"/>
      <c r="L210" s="99"/>
      <c r="M210" s="49"/>
      <c r="N210" s="49"/>
      <c r="O210" s="49"/>
      <c r="P210" s="49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9"/>
      <c r="I211" s="49"/>
      <c r="J211" s="49"/>
      <c r="K211" s="49"/>
      <c r="L211" s="99"/>
      <c r="M211" s="49"/>
      <c r="N211" s="49"/>
      <c r="O211" s="49"/>
      <c r="P211" s="49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9"/>
      <c r="I212" s="49"/>
      <c r="J212" s="49"/>
      <c r="K212" s="49"/>
      <c r="L212" s="99"/>
      <c r="M212" s="49"/>
      <c r="N212" s="49"/>
      <c r="O212" s="49"/>
      <c r="P212" s="49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9"/>
      <c r="I213" s="49"/>
      <c r="J213" s="49"/>
      <c r="K213" s="49"/>
      <c r="L213" s="99"/>
      <c r="M213" s="49"/>
      <c r="N213" s="49"/>
      <c r="O213" s="49"/>
      <c r="P213" s="49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9"/>
      <c r="I214" s="49"/>
      <c r="J214" s="49"/>
      <c r="K214" s="49"/>
      <c r="L214" s="99"/>
      <c r="M214" s="49"/>
      <c r="N214" s="49"/>
      <c r="O214" s="49"/>
      <c r="P214" s="49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9"/>
      <c r="I215" s="49"/>
      <c r="J215" s="49"/>
      <c r="K215" s="49"/>
      <c r="L215" s="99"/>
      <c r="M215" s="49"/>
      <c r="N215" s="49"/>
      <c r="O215" s="49"/>
      <c r="P215" s="49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9"/>
      <c r="I216" s="49"/>
      <c r="J216" s="49"/>
      <c r="K216" s="49"/>
      <c r="L216" s="99"/>
      <c r="M216" s="49"/>
      <c r="N216" s="49"/>
      <c r="O216" s="49"/>
      <c r="P216" s="49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9"/>
      <c r="I217" s="49"/>
      <c r="J217" s="49"/>
      <c r="K217" s="49"/>
      <c r="L217" s="99"/>
      <c r="M217" s="49"/>
      <c r="N217" s="49"/>
      <c r="O217" s="49"/>
      <c r="P217" s="49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9"/>
      <c r="I218" s="49"/>
      <c r="J218" s="49"/>
      <c r="K218" s="49"/>
      <c r="L218" s="99"/>
      <c r="M218" s="49"/>
      <c r="N218" s="49"/>
      <c r="O218" s="49"/>
      <c r="P218" s="49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9"/>
      <c r="I219" s="49"/>
      <c r="J219" s="49"/>
      <c r="K219" s="49"/>
      <c r="L219" s="99"/>
      <c r="M219" s="49"/>
      <c r="N219" s="49"/>
      <c r="O219" s="49"/>
      <c r="P219" s="49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9"/>
      <c r="I220" s="49"/>
      <c r="J220" s="49"/>
      <c r="K220" s="49"/>
      <c r="L220" s="99"/>
      <c r="M220" s="49"/>
      <c r="N220" s="49"/>
      <c r="O220" s="49"/>
      <c r="P220" s="49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9"/>
      <c r="I221" s="49"/>
      <c r="J221" s="49"/>
      <c r="K221" s="49"/>
      <c r="L221" s="99"/>
      <c r="M221" s="49"/>
      <c r="N221" s="49"/>
      <c r="O221" s="49"/>
      <c r="P221" s="49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9"/>
      <c r="I222" s="49"/>
      <c r="J222" s="49"/>
      <c r="K222" s="49"/>
      <c r="L222" s="99"/>
      <c r="M222" s="49"/>
      <c r="N222" s="49"/>
      <c r="O222" s="49"/>
      <c r="P222" s="49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9"/>
      <c r="I223" s="49"/>
      <c r="J223" s="49"/>
      <c r="K223" s="49"/>
      <c r="L223" s="99"/>
      <c r="M223" s="49"/>
      <c r="N223" s="49"/>
      <c r="O223" s="49"/>
      <c r="P223" s="49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9"/>
      <c r="I224" s="49"/>
      <c r="J224" s="49"/>
      <c r="K224" s="49"/>
      <c r="L224" s="99"/>
      <c r="M224" s="49"/>
      <c r="N224" s="49"/>
      <c r="O224" s="49"/>
      <c r="P224" s="49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9"/>
      <c r="I225" s="49"/>
      <c r="J225" s="49"/>
      <c r="K225" s="49"/>
      <c r="L225" s="99"/>
      <c r="M225" s="49"/>
      <c r="N225" s="49"/>
      <c r="O225" s="49"/>
      <c r="P225" s="49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H226" s="49"/>
      <c r="I226" s="49"/>
      <c r="J226" s="49"/>
      <c r="K226" s="49"/>
      <c r="L226" s="49"/>
      <c r="M226" s="49"/>
      <c r="N226" s="49"/>
      <c r="O226" s="49"/>
      <c r="P226" s="49"/>
    </row>
    <row r="227" ht="15.75" customHeight="1">
      <c r="H227" s="49"/>
      <c r="I227" s="49"/>
      <c r="J227" s="49"/>
      <c r="K227" s="49"/>
      <c r="L227" s="49"/>
      <c r="M227" s="49"/>
      <c r="N227" s="49"/>
      <c r="O227" s="49"/>
      <c r="P227" s="49"/>
    </row>
    <row r="228" ht="15.75" customHeight="1">
      <c r="H228" s="49"/>
      <c r="I228" s="49"/>
      <c r="J228" s="49"/>
      <c r="K228" s="49"/>
      <c r="L228" s="49"/>
      <c r="M228" s="49"/>
      <c r="N228" s="49"/>
      <c r="O228" s="49"/>
      <c r="P228" s="49"/>
    </row>
    <row r="229" ht="15.75" customHeight="1">
      <c r="H229" s="49"/>
      <c r="I229" s="49"/>
      <c r="J229" s="49"/>
      <c r="K229" s="49"/>
      <c r="L229" s="49"/>
      <c r="M229" s="49"/>
      <c r="N229" s="49"/>
      <c r="O229" s="49"/>
      <c r="P229" s="49"/>
    </row>
    <row r="230" ht="15.75" customHeight="1">
      <c r="H230" s="49"/>
      <c r="I230" s="49"/>
      <c r="J230" s="49"/>
      <c r="K230" s="49"/>
      <c r="L230" s="49"/>
      <c r="M230" s="49"/>
      <c r="N230" s="49"/>
      <c r="O230" s="49"/>
      <c r="P230" s="49"/>
    </row>
    <row r="231" ht="15.75" customHeight="1">
      <c r="H231" s="49"/>
      <c r="I231" s="49"/>
      <c r="J231" s="49"/>
      <c r="K231" s="49"/>
      <c r="L231" s="49"/>
      <c r="M231" s="49"/>
      <c r="N231" s="49"/>
      <c r="O231" s="49"/>
      <c r="P231" s="49"/>
    </row>
    <row r="232" ht="15.75" customHeight="1">
      <c r="H232" s="49"/>
      <c r="I232" s="49"/>
      <c r="J232" s="49"/>
      <c r="K232" s="49"/>
      <c r="L232" s="49"/>
      <c r="M232" s="49"/>
      <c r="N232" s="49"/>
      <c r="O232" s="49"/>
      <c r="P232" s="49"/>
    </row>
    <row r="233" ht="15.75" customHeight="1">
      <c r="H233" s="49"/>
      <c r="I233" s="49"/>
      <c r="J233" s="49"/>
      <c r="K233" s="49"/>
      <c r="L233" s="49"/>
      <c r="M233" s="49"/>
      <c r="N233" s="49"/>
      <c r="O233" s="49"/>
      <c r="P233" s="49"/>
    </row>
    <row r="234" ht="15.75" customHeight="1">
      <c r="H234" s="49"/>
      <c r="I234" s="49"/>
      <c r="J234" s="49"/>
      <c r="K234" s="49"/>
      <c r="L234" s="49"/>
      <c r="M234" s="49"/>
      <c r="N234" s="49"/>
      <c r="O234" s="49"/>
      <c r="P234" s="49"/>
    </row>
    <row r="235" ht="15.75" customHeight="1">
      <c r="H235" s="49"/>
      <c r="I235" s="49"/>
      <c r="J235" s="49"/>
      <c r="K235" s="49"/>
      <c r="L235" s="49"/>
      <c r="M235" s="49"/>
      <c r="N235" s="49"/>
      <c r="O235" s="49"/>
      <c r="P235" s="49"/>
    </row>
    <row r="236" ht="15.75" customHeight="1">
      <c r="H236" s="49"/>
      <c r="I236" s="49"/>
      <c r="J236" s="49"/>
      <c r="K236" s="49"/>
      <c r="L236" s="49"/>
      <c r="M236" s="49"/>
      <c r="N236" s="49"/>
      <c r="O236" s="49"/>
      <c r="P236" s="49"/>
    </row>
    <row r="237" ht="15.75" customHeight="1">
      <c r="H237" s="49"/>
      <c r="I237" s="49"/>
      <c r="J237" s="49"/>
      <c r="K237" s="49"/>
      <c r="L237" s="49"/>
      <c r="M237" s="49"/>
      <c r="N237" s="49"/>
      <c r="O237" s="49"/>
      <c r="P237" s="49"/>
    </row>
    <row r="238" ht="15.75" customHeight="1">
      <c r="H238" s="49"/>
      <c r="I238" s="49"/>
      <c r="J238" s="49"/>
      <c r="K238" s="49"/>
      <c r="L238" s="49"/>
      <c r="M238" s="49"/>
      <c r="N238" s="49"/>
      <c r="O238" s="49"/>
      <c r="P238" s="49"/>
    </row>
    <row r="239" ht="15.75" customHeight="1">
      <c r="H239" s="49"/>
      <c r="I239" s="49"/>
      <c r="J239" s="49"/>
      <c r="K239" s="49"/>
      <c r="L239" s="49"/>
      <c r="M239" s="49"/>
      <c r="N239" s="49"/>
      <c r="O239" s="49"/>
      <c r="P239" s="4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:J20">
    <cfRule type="cellIs" dxfId="0" priority="1" operator="greaterThan">
      <formula>L15</formula>
    </cfRule>
  </conditionalFormatting>
  <conditionalFormatting sqref="J15 J19:J20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10.63"/>
    <col customWidth="1" min="12" max="12" width="16.88"/>
  </cols>
  <sheetData>
    <row r="1">
      <c r="A1" s="40" t="s">
        <v>52</v>
      </c>
      <c r="B1" s="40" t="s">
        <v>157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433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112" t="s">
        <v>2</v>
      </c>
      <c r="K4" s="45"/>
      <c r="L4" s="48" t="s">
        <v>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J29</f>
        <v>828</v>
      </c>
      <c r="K7" s="42"/>
      <c r="L7" s="37">
        <v>2706.0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-828</v>
      </c>
      <c r="K8" s="42"/>
      <c r="L8" s="37">
        <v>-2706.0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4000.0</v>
      </c>
      <c r="B14" s="52" t="s">
        <v>176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434</v>
      </c>
      <c r="C15" s="43"/>
      <c r="D15" s="43"/>
      <c r="E15" s="43"/>
      <c r="F15" s="43"/>
      <c r="G15" s="43"/>
      <c r="H15" s="43"/>
      <c r="I15" s="43"/>
      <c r="J15" s="16">
        <f>F15*H15</f>
        <v>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5480.0</v>
      </c>
      <c r="B18" s="52" t="s">
        <v>148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49"/>
      <c r="Z18" s="49"/>
    </row>
    <row r="19" ht="15.75" customHeight="1">
      <c r="A19" s="43"/>
      <c r="B19" s="43" t="s">
        <v>435</v>
      </c>
      <c r="C19" s="43"/>
      <c r="D19" s="43"/>
      <c r="E19" s="43"/>
      <c r="F19" s="43"/>
      <c r="G19" s="43"/>
      <c r="H19" s="16"/>
      <c r="I19" s="43"/>
      <c r="J19" s="59">
        <v>0.0</v>
      </c>
      <c r="K19" s="43"/>
      <c r="L19" s="16">
        <v>700.0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436</v>
      </c>
      <c r="C20" s="43"/>
      <c r="D20" s="43"/>
      <c r="E20" s="43"/>
      <c r="F20" s="43"/>
      <c r="G20" s="43"/>
      <c r="H20" s="16"/>
      <c r="I20" s="43"/>
      <c r="J20" s="59">
        <v>0.0</v>
      </c>
      <c r="K20" s="43"/>
      <c r="L20" s="16">
        <v>350.0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81" t="s">
        <v>147</v>
      </c>
      <c r="C21" s="81"/>
      <c r="D21" s="81"/>
      <c r="E21" s="81"/>
      <c r="F21" s="81"/>
      <c r="G21" s="81"/>
      <c r="H21" s="81"/>
      <c r="I21" s="81"/>
      <c r="J21" s="82">
        <f>SUM(J19:J20)</f>
        <v>0</v>
      </c>
      <c r="K21" s="81"/>
      <c r="L21" s="82">
        <v>1050.0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80">
        <v>7600.0</v>
      </c>
      <c r="B23" s="52" t="s">
        <v>157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437</v>
      </c>
      <c r="F24" s="43">
        <v>2.0</v>
      </c>
      <c r="G24" s="43" t="s">
        <v>155</v>
      </c>
      <c r="H24" s="16">
        <f>Parametrar!$I$8</f>
        <v>207</v>
      </c>
      <c r="I24" s="84" t="s">
        <v>119</v>
      </c>
      <c r="J24" s="16">
        <f>F24*H24</f>
        <v>414</v>
      </c>
      <c r="L24" s="16">
        <v>828.0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438</v>
      </c>
      <c r="J25" s="16">
        <f>Parametrar!$I$8</f>
        <v>207</v>
      </c>
      <c r="L25" s="16">
        <v>414.0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439</v>
      </c>
      <c r="C26" s="52"/>
      <c r="D26" s="52"/>
      <c r="E26" s="52"/>
      <c r="F26" s="52"/>
      <c r="G26" s="52"/>
      <c r="H26" s="52"/>
      <c r="I26" s="52"/>
      <c r="J26" s="16">
        <f>Parametrar!$I$8</f>
        <v>207</v>
      </c>
      <c r="K26" s="52"/>
      <c r="L26" s="16">
        <v>414.0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81" t="s">
        <v>147</v>
      </c>
      <c r="C27" s="81"/>
      <c r="D27" s="81"/>
      <c r="E27" s="81"/>
      <c r="F27" s="81"/>
      <c r="G27" s="81"/>
      <c r="H27" s="81"/>
      <c r="I27" s="81"/>
      <c r="J27" s="82">
        <f>SUM(J24:J26)</f>
        <v>828</v>
      </c>
      <c r="K27" s="81"/>
      <c r="L27" s="82">
        <v>1656.0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7"/>
      <c r="B29" s="47" t="s">
        <v>4</v>
      </c>
      <c r="C29" s="47"/>
      <c r="D29" s="47"/>
      <c r="E29" s="47"/>
      <c r="F29" s="47"/>
      <c r="G29" s="47"/>
      <c r="H29" s="47"/>
      <c r="I29" s="47"/>
      <c r="J29" s="57">
        <f>SUM(J14:J28)/2</f>
        <v>828</v>
      </c>
      <c r="K29" s="47"/>
      <c r="L29" s="57">
        <v>2706.0</v>
      </c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7"/>
      <c r="B31" s="47" t="s">
        <v>5</v>
      </c>
      <c r="C31" s="47"/>
      <c r="D31" s="47"/>
      <c r="E31" s="47"/>
      <c r="F31" s="47"/>
      <c r="G31" s="47"/>
      <c r="H31" s="47"/>
      <c r="I31" s="47"/>
      <c r="J31" s="57">
        <f>J12-J29</f>
        <v>-828</v>
      </c>
      <c r="K31" s="47"/>
      <c r="L31" s="57">
        <v>-2706.0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K34" s="43"/>
      <c r="L34" s="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K35" s="43"/>
      <c r="L35" s="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K36" s="43"/>
      <c r="L36" s="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9"/>
      <c r="I186" s="49"/>
      <c r="J186" s="49"/>
      <c r="K186" s="49"/>
      <c r="L186" s="99"/>
      <c r="M186" s="49"/>
      <c r="N186" s="49"/>
      <c r="O186" s="49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9"/>
      <c r="I187" s="49"/>
      <c r="J187" s="49"/>
      <c r="K187" s="49"/>
      <c r="L187" s="99"/>
      <c r="M187" s="49"/>
      <c r="N187" s="49"/>
      <c r="O187" s="49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9"/>
      <c r="I188" s="49"/>
      <c r="J188" s="49"/>
      <c r="K188" s="49"/>
      <c r="L188" s="99"/>
      <c r="M188" s="49"/>
      <c r="N188" s="49"/>
      <c r="O188" s="49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9"/>
      <c r="I189" s="49"/>
      <c r="J189" s="49"/>
      <c r="K189" s="49"/>
      <c r="L189" s="99"/>
      <c r="M189" s="49"/>
      <c r="N189" s="49"/>
      <c r="O189" s="49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9"/>
      <c r="I190" s="49"/>
      <c r="J190" s="49"/>
      <c r="K190" s="49"/>
      <c r="L190" s="99"/>
      <c r="M190" s="49"/>
      <c r="N190" s="49"/>
      <c r="O190" s="49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9"/>
      <c r="I191" s="49"/>
      <c r="J191" s="49"/>
      <c r="K191" s="49"/>
      <c r="L191" s="99"/>
      <c r="M191" s="49"/>
      <c r="N191" s="49"/>
      <c r="O191" s="49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9"/>
      <c r="I192" s="49"/>
      <c r="J192" s="49"/>
      <c r="K192" s="49"/>
      <c r="L192" s="99"/>
      <c r="M192" s="49"/>
      <c r="N192" s="49"/>
      <c r="O192" s="49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9"/>
      <c r="I193" s="49"/>
      <c r="J193" s="49"/>
      <c r="K193" s="49"/>
      <c r="L193" s="99"/>
      <c r="M193" s="49"/>
      <c r="N193" s="49"/>
      <c r="O193" s="49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9"/>
      <c r="I194" s="49"/>
      <c r="J194" s="49"/>
      <c r="K194" s="49"/>
      <c r="L194" s="99"/>
      <c r="M194" s="49"/>
      <c r="N194" s="49"/>
      <c r="O194" s="49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9"/>
      <c r="I195" s="49"/>
      <c r="J195" s="49"/>
      <c r="K195" s="49"/>
      <c r="L195" s="99"/>
      <c r="M195" s="49"/>
      <c r="N195" s="49"/>
      <c r="O195" s="49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9"/>
      <c r="I196" s="49"/>
      <c r="J196" s="49"/>
      <c r="K196" s="49"/>
      <c r="L196" s="99"/>
      <c r="M196" s="49"/>
      <c r="N196" s="49"/>
      <c r="O196" s="49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9"/>
      <c r="I197" s="49"/>
      <c r="J197" s="49"/>
      <c r="K197" s="49"/>
      <c r="L197" s="99"/>
      <c r="M197" s="49"/>
      <c r="N197" s="49"/>
      <c r="O197" s="49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9"/>
      <c r="I198" s="49"/>
      <c r="J198" s="49"/>
      <c r="K198" s="49"/>
      <c r="L198" s="99"/>
      <c r="M198" s="49"/>
      <c r="N198" s="49"/>
      <c r="O198" s="49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9"/>
      <c r="I199" s="49"/>
      <c r="J199" s="49"/>
      <c r="K199" s="49"/>
      <c r="L199" s="99"/>
      <c r="M199" s="49"/>
      <c r="N199" s="49"/>
      <c r="O199" s="49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9"/>
      <c r="I200" s="49"/>
      <c r="J200" s="49"/>
      <c r="K200" s="49"/>
      <c r="L200" s="99"/>
      <c r="M200" s="49"/>
      <c r="N200" s="49"/>
      <c r="O200" s="49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9"/>
      <c r="I201" s="49"/>
      <c r="J201" s="49"/>
      <c r="K201" s="49"/>
      <c r="L201" s="99"/>
      <c r="M201" s="49"/>
      <c r="N201" s="49"/>
      <c r="O201" s="49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9"/>
      <c r="I202" s="49"/>
      <c r="J202" s="49"/>
      <c r="K202" s="49"/>
      <c r="L202" s="99"/>
      <c r="M202" s="49"/>
      <c r="N202" s="49"/>
      <c r="O202" s="49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9"/>
      <c r="I203" s="49"/>
      <c r="J203" s="49"/>
      <c r="K203" s="49"/>
      <c r="L203" s="99"/>
      <c r="M203" s="49"/>
      <c r="N203" s="49"/>
      <c r="O203" s="49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9"/>
      <c r="I204" s="49"/>
      <c r="J204" s="49"/>
      <c r="K204" s="49"/>
      <c r="L204" s="99"/>
      <c r="M204" s="49"/>
      <c r="N204" s="49"/>
      <c r="O204" s="49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9"/>
      <c r="I205" s="49"/>
      <c r="J205" s="49"/>
      <c r="K205" s="49"/>
      <c r="L205" s="99"/>
      <c r="M205" s="49"/>
      <c r="N205" s="49"/>
      <c r="O205" s="49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9"/>
      <c r="I206" s="49"/>
      <c r="J206" s="49"/>
      <c r="K206" s="49"/>
      <c r="L206" s="99"/>
      <c r="M206" s="49"/>
      <c r="N206" s="49"/>
      <c r="O206" s="49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9"/>
      <c r="I207" s="49"/>
      <c r="J207" s="49"/>
      <c r="K207" s="49"/>
      <c r="L207" s="99"/>
      <c r="M207" s="49"/>
      <c r="N207" s="49"/>
      <c r="O207" s="49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9"/>
      <c r="I208" s="49"/>
      <c r="J208" s="49"/>
      <c r="K208" s="49"/>
      <c r="L208" s="99"/>
      <c r="M208" s="49"/>
      <c r="N208" s="49"/>
      <c r="O208" s="49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9"/>
      <c r="I209" s="49"/>
      <c r="J209" s="49"/>
      <c r="K209" s="49"/>
      <c r="L209" s="99"/>
      <c r="M209" s="49"/>
      <c r="N209" s="49"/>
      <c r="O209" s="49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9"/>
      <c r="I210" s="49"/>
      <c r="J210" s="49"/>
      <c r="K210" s="49"/>
      <c r="L210" s="99"/>
      <c r="M210" s="49"/>
      <c r="N210" s="49"/>
      <c r="O210" s="49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9"/>
      <c r="I211" s="49"/>
      <c r="J211" s="49"/>
      <c r="K211" s="49"/>
      <c r="L211" s="99"/>
      <c r="M211" s="49"/>
      <c r="N211" s="49"/>
      <c r="O211" s="49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9"/>
      <c r="I212" s="49"/>
      <c r="J212" s="49"/>
      <c r="K212" s="49"/>
      <c r="L212" s="99"/>
      <c r="M212" s="49"/>
      <c r="N212" s="49"/>
      <c r="O212" s="49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9"/>
      <c r="I213" s="49"/>
      <c r="J213" s="49"/>
      <c r="K213" s="49"/>
      <c r="L213" s="99"/>
      <c r="M213" s="49"/>
      <c r="N213" s="49"/>
      <c r="O213" s="49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9"/>
      <c r="I214" s="49"/>
      <c r="J214" s="49"/>
      <c r="K214" s="49"/>
      <c r="L214" s="99"/>
      <c r="M214" s="49"/>
      <c r="N214" s="49"/>
      <c r="O214" s="49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9"/>
      <c r="I215" s="49"/>
      <c r="J215" s="49"/>
      <c r="K215" s="49"/>
      <c r="L215" s="99"/>
      <c r="M215" s="49"/>
      <c r="N215" s="49"/>
      <c r="O215" s="49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9"/>
      <c r="I216" s="49"/>
      <c r="J216" s="49"/>
      <c r="K216" s="49"/>
      <c r="L216" s="99"/>
      <c r="M216" s="49"/>
      <c r="N216" s="49"/>
      <c r="O216" s="49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9"/>
      <c r="I217" s="49"/>
      <c r="J217" s="49"/>
      <c r="K217" s="49"/>
      <c r="L217" s="99"/>
      <c r="M217" s="49"/>
      <c r="N217" s="49"/>
      <c r="O217" s="49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9"/>
      <c r="I218" s="49"/>
      <c r="J218" s="49"/>
      <c r="K218" s="49"/>
      <c r="L218" s="99"/>
      <c r="M218" s="49"/>
      <c r="N218" s="49"/>
      <c r="O218" s="49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9"/>
      <c r="I219" s="49"/>
      <c r="J219" s="49"/>
      <c r="K219" s="49"/>
      <c r="L219" s="99"/>
      <c r="M219" s="49"/>
      <c r="N219" s="49"/>
      <c r="O219" s="49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9"/>
      <c r="I220" s="49"/>
      <c r="J220" s="49"/>
      <c r="K220" s="49"/>
      <c r="L220" s="99"/>
      <c r="M220" s="49"/>
      <c r="N220" s="49"/>
      <c r="O220" s="49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9"/>
      <c r="I221" s="49"/>
      <c r="J221" s="49"/>
      <c r="K221" s="49"/>
      <c r="L221" s="99"/>
      <c r="M221" s="49"/>
      <c r="N221" s="49"/>
      <c r="O221" s="49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9"/>
      <c r="I222" s="49"/>
      <c r="J222" s="49"/>
      <c r="K222" s="49"/>
      <c r="L222" s="99"/>
      <c r="M222" s="49"/>
      <c r="N222" s="49"/>
      <c r="O222" s="49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9"/>
      <c r="I223" s="49"/>
      <c r="J223" s="49"/>
      <c r="K223" s="49"/>
      <c r="L223" s="99"/>
      <c r="M223" s="49"/>
      <c r="N223" s="49"/>
      <c r="O223" s="49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9"/>
      <c r="I224" s="49"/>
      <c r="J224" s="49"/>
      <c r="K224" s="49"/>
      <c r="L224" s="99"/>
      <c r="M224" s="49"/>
      <c r="N224" s="49"/>
      <c r="O224" s="49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9"/>
      <c r="I225" s="49"/>
      <c r="J225" s="49"/>
      <c r="K225" s="49"/>
      <c r="L225" s="99"/>
      <c r="M225" s="49"/>
      <c r="N225" s="49"/>
      <c r="O225" s="49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9"/>
      <c r="I226" s="49"/>
      <c r="J226" s="49"/>
      <c r="K226" s="49"/>
      <c r="L226" s="99"/>
      <c r="M226" s="49"/>
      <c r="N226" s="49"/>
      <c r="O226" s="49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9"/>
      <c r="I227" s="49"/>
      <c r="J227" s="49"/>
      <c r="K227" s="49"/>
      <c r="L227" s="99"/>
      <c r="M227" s="49"/>
      <c r="N227" s="49"/>
      <c r="O227" s="49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9"/>
      <c r="I228" s="49"/>
      <c r="J228" s="49"/>
      <c r="K228" s="49"/>
      <c r="L228" s="99"/>
      <c r="M228" s="49"/>
      <c r="N228" s="49"/>
      <c r="O228" s="49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9"/>
      <c r="I229" s="49"/>
      <c r="J229" s="49"/>
      <c r="K229" s="49"/>
      <c r="L229" s="99"/>
      <c r="M229" s="49"/>
      <c r="N229" s="49"/>
      <c r="O229" s="49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9"/>
      <c r="I230" s="49"/>
      <c r="J230" s="49"/>
      <c r="K230" s="49"/>
      <c r="L230" s="99"/>
      <c r="M230" s="49"/>
      <c r="N230" s="49"/>
      <c r="O230" s="49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9"/>
      <c r="I231" s="49"/>
      <c r="J231" s="49"/>
      <c r="K231" s="49"/>
      <c r="L231" s="99"/>
      <c r="M231" s="49"/>
      <c r="N231" s="49"/>
      <c r="O231" s="49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H232" s="49"/>
      <c r="I232" s="49"/>
      <c r="J232" s="49"/>
      <c r="K232" s="49"/>
      <c r="L232" s="49"/>
      <c r="M232" s="49"/>
      <c r="N232" s="49"/>
      <c r="O232" s="49"/>
    </row>
    <row r="233" ht="15.75" customHeight="1">
      <c r="H233" s="49"/>
      <c r="I233" s="49"/>
      <c r="J233" s="49"/>
      <c r="K233" s="49"/>
      <c r="L233" s="49"/>
      <c r="M233" s="49"/>
      <c r="N233" s="49"/>
      <c r="O233" s="49"/>
    </row>
    <row r="234" ht="15.75" customHeight="1">
      <c r="H234" s="49"/>
      <c r="I234" s="49"/>
      <c r="J234" s="49"/>
      <c r="K234" s="49"/>
      <c r="L234" s="49"/>
      <c r="M234" s="49"/>
      <c r="N234" s="49"/>
      <c r="O234" s="49"/>
    </row>
    <row r="235" ht="15.75" customHeight="1">
      <c r="H235" s="49"/>
      <c r="I235" s="49"/>
      <c r="J235" s="49"/>
      <c r="K235" s="49"/>
      <c r="L235" s="49"/>
      <c r="M235" s="49"/>
      <c r="N235" s="49"/>
      <c r="O235" s="49"/>
    </row>
    <row r="236" ht="15.75" customHeight="1">
      <c r="H236" s="49"/>
      <c r="I236" s="49"/>
      <c r="J236" s="49"/>
      <c r="K236" s="49"/>
      <c r="L236" s="49"/>
      <c r="M236" s="49"/>
      <c r="N236" s="49"/>
      <c r="O236" s="49"/>
    </row>
    <row r="237" ht="15.75" customHeight="1">
      <c r="H237" s="49"/>
      <c r="I237" s="49"/>
      <c r="J237" s="49"/>
      <c r="K237" s="49"/>
      <c r="L237" s="49"/>
      <c r="M237" s="49"/>
      <c r="N237" s="49"/>
      <c r="O237" s="49"/>
    </row>
    <row r="238" ht="15.75" customHeight="1">
      <c r="H238" s="49"/>
      <c r="I238" s="49"/>
      <c r="J238" s="49"/>
      <c r="K238" s="49"/>
      <c r="L238" s="49"/>
      <c r="M238" s="49"/>
      <c r="N238" s="49"/>
      <c r="O238" s="49"/>
    </row>
    <row r="239" ht="15.75" customHeight="1">
      <c r="H239" s="49"/>
      <c r="I239" s="49"/>
      <c r="J239" s="49"/>
      <c r="K239" s="49"/>
      <c r="L239" s="49"/>
      <c r="M239" s="49"/>
      <c r="N239" s="49"/>
      <c r="O239" s="49"/>
    </row>
    <row r="240" ht="15.75" customHeight="1">
      <c r="H240" s="49"/>
      <c r="I240" s="49"/>
      <c r="J240" s="49"/>
      <c r="K240" s="49"/>
      <c r="L240" s="49"/>
      <c r="M240" s="49"/>
      <c r="N240" s="49"/>
      <c r="O240" s="49"/>
    </row>
    <row r="241" ht="15.75" customHeight="1">
      <c r="H241" s="49"/>
      <c r="I241" s="49"/>
      <c r="J241" s="49"/>
      <c r="K241" s="49"/>
      <c r="L241" s="49"/>
      <c r="M241" s="49"/>
      <c r="N241" s="49"/>
      <c r="O241" s="49"/>
    </row>
    <row r="242" ht="15.75" customHeight="1">
      <c r="H242" s="49"/>
      <c r="I242" s="49"/>
      <c r="J242" s="49"/>
      <c r="K242" s="49"/>
      <c r="L242" s="49"/>
      <c r="M242" s="49"/>
      <c r="N242" s="49"/>
      <c r="O242" s="49"/>
    </row>
    <row r="243" ht="15.75" customHeight="1">
      <c r="H243" s="49"/>
      <c r="I243" s="49"/>
      <c r="J243" s="49"/>
      <c r="K243" s="49"/>
      <c r="L243" s="49"/>
      <c r="M243" s="49"/>
      <c r="N243" s="49"/>
      <c r="O243" s="4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2:C2"/>
    <mergeCell ref="A6:B6"/>
    <mergeCell ref="A7:B7"/>
    <mergeCell ref="A8:B8"/>
  </mergeCells>
  <conditionalFormatting sqref="J15 J19:J20 J24:J26">
    <cfRule type="cellIs" dxfId="0" priority="1" operator="greaterThan">
      <formula>L15</formula>
    </cfRule>
  </conditionalFormatting>
  <conditionalFormatting sqref="J15 J19:J20 J24:J26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53</v>
      </c>
      <c r="B1" s="40" t="s">
        <v>440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441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J65</f>
        <v>71395</v>
      </c>
      <c r="K7" s="42"/>
      <c r="L7" s="37">
        <v>65692.0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-71395</v>
      </c>
      <c r="K8" s="42"/>
      <c r="L8" s="37">
        <v>-65692.0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5460.0</v>
      </c>
      <c r="B14" s="52" t="s">
        <v>442</v>
      </c>
      <c r="C14" s="52"/>
      <c r="D14" s="52"/>
      <c r="E14" s="52"/>
      <c r="F14" s="52"/>
      <c r="G14" s="52"/>
      <c r="H14" s="52"/>
      <c r="I14" s="52"/>
      <c r="J14" s="73"/>
      <c r="K14" s="52"/>
      <c r="L14" s="73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49"/>
    </row>
    <row r="15" ht="15.75" customHeight="1">
      <c r="A15" s="43"/>
      <c r="B15" s="43" t="s">
        <v>443</v>
      </c>
      <c r="C15" s="43"/>
      <c r="D15" s="43"/>
      <c r="E15" s="43"/>
      <c r="F15" s="43"/>
      <c r="G15" s="43"/>
      <c r="H15" s="43"/>
      <c r="I15" s="43"/>
      <c r="J15" s="16">
        <v>5000.0</v>
      </c>
      <c r="K15" s="43"/>
      <c r="L15" s="16">
        <v>5000.0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444</v>
      </c>
      <c r="C16" s="43"/>
      <c r="D16" s="43"/>
      <c r="E16" s="43"/>
      <c r="F16" s="43"/>
      <c r="G16" s="43"/>
      <c r="H16" s="43"/>
      <c r="I16" s="43"/>
      <c r="J16" s="16">
        <v>15000.0</v>
      </c>
      <c r="K16" s="43"/>
      <c r="L16" s="16">
        <v>15000.0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81" t="s">
        <v>147</v>
      </c>
      <c r="C17" s="81"/>
      <c r="D17" s="81"/>
      <c r="E17" s="81"/>
      <c r="F17" s="81"/>
      <c r="G17" s="81"/>
      <c r="H17" s="81"/>
      <c r="I17" s="81"/>
      <c r="J17" s="82">
        <f>SUM(J15:J16)</f>
        <v>20000</v>
      </c>
      <c r="K17" s="81"/>
      <c r="L17" s="82">
        <v>20000.0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52"/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80">
        <v>5580.0</v>
      </c>
      <c r="B19" s="52" t="s">
        <v>445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446</v>
      </c>
      <c r="C20" s="43"/>
      <c r="D20" s="43"/>
      <c r="E20" s="43"/>
      <c r="F20" s="43">
        <v>10.0</v>
      </c>
      <c r="G20" s="43" t="s">
        <v>155</v>
      </c>
      <c r="H20" s="16">
        <v>200.0</v>
      </c>
      <c r="I20" s="84" t="s">
        <v>119</v>
      </c>
      <c r="J20" s="16">
        <f>F20*H20</f>
        <v>2000</v>
      </c>
      <c r="K20" s="43"/>
      <c r="L20" s="16">
        <v>2000.0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81" t="s">
        <v>147</v>
      </c>
      <c r="C21" s="81"/>
      <c r="D21" s="81"/>
      <c r="E21" s="81"/>
      <c r="F21" s="81"/>
      <c r="G21" s="81"/>
      <c r="H21" s="81"/>
      <c r="I21" s="81"/>
      <c r="J21" s="82">
        <f>SUM(J20)</f>
        <v>2000</v>
      </c>
      <c r="K21" s="81"/>
      <c r="L21" s="82">
        <v>2000.0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80">
        <v>5611.0</v>
      </c>
      <c r="B23" s="52" t="s">
        <v>447</v>
      </c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448</v>
      </c>
      <c r="C24" s="43"/>
      <c r="D24" s="43"/>
      <c r="E24" s="43"/>
      <c r="F24" s="43"/>
      <c r="G24" s="43"/>
      <c r="H24" s="43"/>
      <c r="I24" s="43"/>
      <c r="J24" s="59">
        <v>17000.0</v>
      </c>
      <c r="K24" s="43"/>
      <c r="L24" s="16">
        <v>15000.0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81" t="s">
        <v>147</v>
      </c>
      <c r="C25" s="81"/>
      <c r="D25" s="81"/>
      <c r="E25" s="81"/>
      <c r="F25" s="81"/>
      <c r="G25" s="81"/>
      <c r="H25" s="81"/>
      <c r="I25" s="81"/>
      <c r="J25" s="82">
        <f>SUM(J24)</f>
        <v>17000</v>
      </c>
      <c r="K25" s="81"/>
      <c r="L25" s="82">
        <v>15000.0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52"/>
      <c r="C26" s="52"/>
      <c r="D26" s="52"/>
      <c r="E26" s="52"/>
      <c r="F26" s="52"/>
      <c r="G26" s="52"/>
      <c r="H26" s="52"/>
      <c r="I26" s="52"/>
      <c r="J26" s="73"/>
      <c r="K26" s="52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80">
        <v>5612.0</v>
      </c>
      <c r="B27" s="52" t="s">
        <v>449</v>
      </c>
      <c r="C27" s="43"/>
      <c r="D27" s="43"/>
      <c r="E27" s="43"/>
      <c r="F27" s="43"/>
      <c r="G27" s="43"/>
      <c r="H27" s="43"/>
      <c r="I27" s="43"/>
      <c r="J27" s="16"/>
      <c r="K27" s="43"/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450</v>
      </c>
      <c r="C28" s="43"/>
      <c r="D28" s="43"/>
      <c r="E28" s="43"/>
      <c r="F28" s="43"/>
      <c r="G28" s="43"/>
      <c r="H28" s="43"/>
      <c r="I28" s="43"/>
      <c r="J28" s="16">
        <v>2500.0</v>
      </c>
      <c r="K28" s="43"/>
      <c r="L28" s="16">
        <v>2500.0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451</v>
      </c>
      <c r="C29" s="43"/>
      <c r="D29" s="43"/>
      <c r="E29" s="43"/>
      <c r="F29" s="43"/>
      <c r="G29" s="43"/>
      <c r="H29" s="43"/>
      <c r="I29" s="43"/>
      <c r="J29" s="59">
        <v>1800.0</v>
      </c>
      <c r="K29" s="43"/>
      <c r="L29" s="16">
        <v>1572.0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81" t="s">
        <v>147</v>
      </c>
      <c r="C30" s="81"/>
      <c r="D30" s="81"/>
      <c r="E30" s="81"/>
      <c r="F30" s="81"/>
      <c r="G30" s="81"/>
      <c r="H30" s="81"/>
      <c r="I30" s="81"/>
      <c r="J30" s="82">
        <f>SUM(J28:J29)</f>
        <v>4300</v>
      </c>
      <c r="K30" s="81"/>
      <c r="L30" s="82">
        <v>4072.0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52"/>
      <c r="C31" s="52"/>
      <c r="D31" s="52"/>
      <c r="E31" s="52"/>
      <c r="F31" s="52"/>
      <c r="G31" s="52"/>
      <c r="H31" s="52"/>
      <c r="I31" s="52"/>
      <c r="J31" s="73"/>
      <c r="K31" s="52"/>
      <c r="L31" s="7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80">
        <v>5619.0</v>
      </c>
      <c r="B32" s="52" t="s">
        <v>452</v>
      </c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 t="s">
        <v>453</v>
      </c>
      <c r="C33" s="43"/>
      <c r="D33" s="43"/>
      <c r="E33" s="43"/>
      <c r="F33" s="43"/>
      <c r="G33" s="43"/>
      <c r="H33" s="43"/>
      <c r="I33" s="43"/>
      <c r="J33" s="16">
        <v>0.0</v>
      </c>
      <c r="K33" s="43"/>
      <c r="L33" s="16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454</v>
      </c>
      <c r="C34" s="43"/>
      <c r="D34" s="43"/>
      <c r="E34" s="43"/>
      <c r="F34" s="43">
        <v>2.0</v>
      </c>
      <c r="G34" s="43" t="s">
        <v>155</v>
      </c>
      <c r="H34" s="43">
        <v>800.0</v>
      </c>
      <c r="I34" s="84" t="s">
        <v>119</v>
      </c>
      <c r="J34" s="16">
        <f>F34*H34</f>
        <v>1600</v>
      </c>
      <c r="K34" s="43"/>
      <c r="L34" s="16">
        <v>1600.0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 t="s">
        <v>455</v>
      </c>
      <c r="C35" s="43"/>
      <c r="D35" s="43"/>
      <c r="E35" s="43"/>
      <c r="F35" s="43"/>
      <c r="G35" s="43"/>
      <c r="H35" s="43"/>
      <c r="I35" s="43"/>
      <c r="J35" s="16">
        <v>1000.0</v>
      </c>
      <c r="K35" s="43"/>
      <c r="L35" s="16">
        <v>1000.0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456</v>
      </c>
      <c r="C36" s="43"/>
      <c r="D36" s="43"/>
      <c r="E36" s="43"/>
      <c r="F36" s="43"/>
      <c r="G36" s="43"/>
      <c r="H36" s="43"/>
      <c r="I36" s="43"/>
      <c r="J36" s="16">
        <v>620.0</v>
      </c>
      <c r="K36" s="43"/>
      <c r="L36" s="16">
        <v>620.0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81" t="s">
        <v>147</v>
      </c>
      <c r="C37" s="81"/>
      <c r="D37" s="81"/>
      <c r="E37" s="81"/>
      <c r="F37" s="81"/>
      <c r="G37" s="81"/>
      <c r="H37" s="81"/>
      <c r="I37" s="81"/>
      <c r="J37" s="82">
        <f>SUM(J33:J36)</f>
        <v>3220</v>
      </c>
      <c r="K37" s="81"/>
      <c r="L37" s="82">
        <v>3220.0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80">
        <v>6070.0</v>
      </c>
      <c r="B39" s="52" t="s">
        <v>457</v>
      </c>
      <c r="C39" s="43"/>
      <c r="D39" s="43"/>
      <c r="E39" s="43"/>
      <c r="F39" s="43"/>
      <c r="G39" s="43"/>
      <c r="H39" s="43"/>
      <c r="I39" s="43"/>
      <c r="J39" s="16"/>
      <c r="K39" s="43"/>
      <c r="L39" s="16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 t="s">
        <v>458</v>
      </c>
      <c r="C40" s="43"/>
      <c r="D40" s="43"/>
      <c r="E40" s="43"/>
      <c r="F40" s="43"/>
      <c r="G40" s="43"/>
      <c r="H40" s="16"/>
      <c r="I40" s="43"/>
      <c r="J40" s="16">
        <v>3000.0</v>
      </c>
      <c r="K40" s="43"/>
      <c r="L40" s="16">
        <v>3000.0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81" t="s">
        <v>147</v>
      </c>
      <c r="C41" s="81"/>
      <c r="D41" s="81"/>
      <c r="E41" s="81"/>
      <c r="F41" s="81"/>
      <c r="G41" s="81"/>
      <c r="H41" s="81"/>
      <c r="I41" s="81"/>
      <c r="J41" s="82">
        <f>SUM(J40)</f>
        <v>3000</v>
      </c>
      <c r="K41" s="81"/>
      <c r="L41" s="82">
        <v>3000.0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16"/>
      <c r="K42" s="43"/>
      <c r="L42" s="16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80">
        <v>6150.0</v>
      </c>
      <c r="B43" s="52" t="s">
        <v>184</v>
      </c>
      <c r="E43" s="43"/>
      <c r="F43" s="43"/>
      <c r="G43" s="43"/>
      <c r="H43" s="43"/>
      <c r="I43" s="43"/>
      <c r="J43" s="16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B44" s="43" t="s">
        <v>27</v>
      </c>
      <c r="E44" s="43"/>
      <c r="F44" s="43"/>
      <c r="G44" s="43"/>
      <c r="H44" s="43"/>
      <c r="I44" s="43"/>
      <c r="J44" s="16">
        <v>0.0</v>
      </c>
      <c r="L44" s="16">
        <v>0.0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B45" s="43" t="s">
        <v>31</v>
      </c>
      <c r="E45" s="43"/>
      <c r="F45" s="43"/>
      <c r="G45" s="43"/>
      <c r="H45" s="43"/>
      <c r="I45" s="43"/>
      <c r="J45" s="16">
        <v>0.0</v>
      </c>
      <c r="L45" s="16">
        <v>0.0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B46" s="43" t="s">
        <v>43</v>
      </c>
      <c r="E46" s="43"/>
      <c r="F46" s="43"/>
      <c r="G46" s="43"/>
      <c r="H46" s="43"/>
      <c r="I46" s="43"/>
      <c r="J46" s="16">
        <v>0.0</v>
      </c>
      <c r="L46" s="16">
        <v>0.0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B47" s="43" t="s">
        <v>58</v>
      </c>
      <c r="E47" s="43"/>
      <c r="F47" s="43"/>
      <c r="G47" s="43"/>
      <c r="H47" s="43"/>
      <c r="I47" s="43"/>
      <c r="J47" s="16">
        <v>0.0</v>
      </c>
      <c r="L47" s="16">
        <v>0.0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B48" s="43" t="s">
        <v>70</v>
      </c>
      <c r="E48" s="43"/>
      <c r="F48" s="43"/>
      <c r="G48" s="43"/>
      <c r="H48" s="43"/>
      <c r="I48" s="43"/>
      <c r="J48" s="16">
        <v>0.0</v>
      </c>
      <c r="L48" s="16">
        <v>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B49" s="43" t="s">
        <v>38</v>
      </c>
      <c r="E49" s="43"/>
      <c r="F49" s="43"/>
      <c r="G49" s="43"/>
      <c r="H49" s="43"/>
      <c r="I49" s="43"/>
      <c r="J49" s="16">
        <v>0.0</v>
      </c>
      <c r="L49" s="16">
        <v>0.0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B50" s="43" t="s">
        <v>16</v>
      </c>
      <c r="E50" s="43"/>
      <c r="F50" s="43"/>
      <c r="G50" s="43"/>
      <c r="H50" s="43"/>
      <c r="I50" s="43"/>
      <c r="J50" s="16">
        <v>0.0</v>
      </c>
      <c r="L50" s="16">
        <v>0.0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B51" s="43" t="s">
        <v>88</v>
      </c>
      <c r="E51" s="43"/>
      <c r="F51" s="43"/>
      <c r="G51" s="43"/>
      <c r="H51" s="43"/>
      <c r="I51" s="43"/>
      <c r="J51" s="16">
        <v>0.0</v>
      </c>
      <c r="L51" s="16">
        <v>0.0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B52" s="43" t="s">
        <v>9</v>
      </c>
      <c r="E52" s="43"/>
      <c r="F52" s="43"/>
      <c r="G52" s="43"/>
      <c r="H52" s="43"/>
      <c r="I52" s="43"/>
      <c r="J52" s="16">
        <v>0.0</v>
      </c>
      <c r="L52" s="16">
        <v>0.0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B53" s="43" t="s">
        <v>459</v>
      </c>
      <c r="E53" s="43"/>
      <c r="F53" s="43"/>
      <c r="G53" s="43"/>
      <c r="H53" s="43"/>
      <c r="I53" s="43"/>
      <c r="J53" s="16">
        <v>6400.0</v>
      </c>
      <c r="L53" s="16">
        <v>6400.0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B54" s="43" t="s">
        <v>185</v>
      </c>
      <c r="E54" s="43"/>
      <c r="F54" s="43"/>
      <c r="G54" s="43"/>
      <c r="H54" s="43"/>
      <c r="I54" s="43"/>
      <c r="J54" s="16">
        <v>12000.0</v>
      </c>
      <c r="L54" s="16">
        <v>12000.0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81" t="s">
        <v>147</v>
      </c>
      <c r="C55" s="81"/>
      <c r="D55" s="81"/>
      <c r="E55" s="81"/>
      <c r="F55" s="81"/>
      <c r="G55" s="81"/>
      <c r="H55" s="81"/>
      <c r="I55" s="81"/>
      <c r="J55" s="82">
        <f>SUM(J44:J54)</f>
        <v>18400</v>
      </c>
      <c r="K55" s="81"/>
      <c r="L55" s="82">
        <v>18400.0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113"/>
      <c r="B56" s="71"/>
      <c r="C56" s="43"/>
      <c r="D56" s="43"/>
      <c r="E56" s="43"/>
      <c r="F56" s="43"/>
      <c r="G56" s="43"/>
      <c r="H56" s="43"/>
      <c r="I56" s="43"/>
      <c r="J56" s="16"/>
      <c r="K56" s="43"/>
      <c r="L56" s="16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87">
        <v>6590.0</v>
      </c>
      <c r="B57" s="71" t="s">
        <v>186</v>
      </c>
      <c r="C57" s="43"/>
      <c r="D57" s="43"/>
      <c r="E57" s="43"/>
      <c r="F57" s="43"/>
      <c r="G57" s="43"/>
      <c r="H57" s="43"/>
      <c r="I57" s="43"/>
      <c r="J57" s="16"/>
      <c r="K57" s="43"/>
      <c r="L57" s="16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114"/>
      <c r="B58" s="115" t="s">
        <v>460</v>
      </c>
      <c r="C58" s="43"/>
      <c r="D58" s="43"/>
      <c r="E58" s="43"/>
      <c r="F58" s="54"/>
      <c r="G58" s="54"/>
      <c r="H58" s="54"/>
      <c r="I58" s="43"/>
      <c r="J58" s="59">
        <v>500.0</v>
      </c>
      <c r="K58" s="43"/>
      <c r="L58" s="59">
        <v>0.0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114"/>
      <c r="B59" s="81" t="s">
        <v>147</v>
      </c>
      <c r="C59" s="81"/>
      <c r="D59" s="81"/>
      <c r="E59" s="81"/>
      <c r="F59" s="81"/>
      <c r="G59" s="81"/>
      <c r="H59" s="81"/>
      <c r="I59" s="81"/>
      <c r="J59" s="82">
        <f>SUM(J58)</f>
        <v>500</v>
      </c>
      <c r="K59" s="81"/>
      <c r="L59" s="116">
        <v>0.0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113"/>
      <c r="B60" s="71"/>
      <c r="C60" s="43"/>
      <c r="D60" s="43"/>
      <c r="E60" s="43"/>
      <c r="F60" s="43"/>
      <c r="G60" s="43"/>
      <c r="H60" s="43"/>
      <c r="I60" s="43"/>
      <c r="J60" s="16"/>
      <c r="K60" s="43"/>
      <c r="L60" s="16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87">
        <v>7610.0</v>
      </c>
      <c r="B61" s="71" t="s">
        <v>425</v>
      </c>
      <c r="C61" s="43"/>
      <c r="D61" s="43"/>
      <c r="E61" s="43"/>
      <c r="F61" s="43"/>
      <c r="G61" s="43"/>
      <c r="H61" s="43"/>
      <c r="I61" s="43"/>
      <c r="J61" s="16"/>
      <c r="K61" s="43"/>
      <c r="L61" s="16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15.75" customHeight="1">
      <c r="A62" s="114"/>
      <c r="B62" s="115" t="s">
        <v>461</v>
      </c>
      <c r="C62" s="43"/>
      <c r="D62" s="43"/>
      <c r="E62" s="43"/>
      <c r="F62" s="54">
        <v>2.0</v>
      </c>
      <c r="G62" s="54" t="s">
        <v>118</v>
      </c>
      <c r="H62" s="54">
        <v>1487.5</v>
      </c>
      <c r="I62" s="43"/>
      <c r="J62" s="16">
        <f>F62*H62</f>
        <v>2975</v>
      </c>
      <c r="K62" s="43"/>
      <c r="L62" s="59">
        <v>0.0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ht="15.75" customHeight="1">
      <c r="A63" s="114"/>
      <c r="B63" s="81" t="s">
        <v>147</v>
      </c>
      <c r="C63" s="81"/>
      <c r="D63" s="81"/>
      <c r="E63" s="81"/>
      <c r="F63" s="81"/>
      <c r="G63" s="81"/>
      <c r="H63" s="81"/>
      <c r="I63" s="81"/>
      <c r="J63" s="82">
        <f>SUM(J62)</f>
        <v>2975</v>
      </c>
      <c r="K63" s="81"/>
      <c r="L63" s="116">
        <v>0.0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15.75" customHeight="1">
      <c r="A64" s="114"/>
      <c r="B64" s="52"/>
      <c r="C64" s="52"/>
      <c r="D64" s="52"/>
      <c r="E64" s="52"/>
      <c r="F64" s="52"/>
      <c r="G64" s="52"/>
      <c r="H64" s="52"/>
      <c r="I64" s="52"/>
      <c r="J64" s="73"/>
      <c r="K64" s="43"/>
      <c r="L64" s="16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ht="15.75" customHeight="1">
      <c r="A65" s="47"/>
      <c r="B65" s="47" t="s">
        <v>4</v>
      </c>
      <c r="C65" s="47"/>
      <c r="D65" s="47"/>
      <c r="E65" s="47"/>
      <c r="F65" s="47"/>
      <c r="G65" s="47"/>
      <c r="H65" s="47"/>
      <c r="I65" s="47"/>
      <c r="J65" s="117">
        <f>SUM(J13:J64)/2</f>
        <v>71395</v>
      </c>
      <c r="K65" s="47"/>
      <c r="L65" s="57">
        <v>65692.0</v>
      </c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16"/>
      <c r="K66" s="43"/>
      <c r="L66" s="16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ht="15.75" customHeight="1">
      <c r="A67" s="47"/>
      <c r="B67" s="47" t="s">
        <v>5</v>
      </c>
      <c r="C67" s="47"/>
      <c r="D67" s="47"/>
      <c r="E67" s="47"/>
      <c r="F67" s="47"/>
      <c r="G67" s="47"/>
      <c r="H67" s="47"/>
      <c r="I67" s="47"/>
      <c r="J67" s="57">
        <f>J12-J65</f>
        <v>-71395</v>
      </c>
      <c r="K67" s="47"/>
      <c r="L67" s="57">
        <v>-65692.0</v>
      </c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2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2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2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2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2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2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2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2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2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2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2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2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2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2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2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2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2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2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2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2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2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2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2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2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2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2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">
    <mergeCell ref="A2:C2"/>
    <mergeCell ref="A6:B6"/>
    <mergeCell ref="A7:B7"/>
    <mergeCell ref="A8:B8"/>
  </mergeCells>
  <conditionalFormatting sqref="J15:J16 J20 J24 J28:J29 J33:J36 J40 J44:J54">
    <cfRule type="cellIs" dxfId="0" priority="1" operator="greaterThan">
      <formula>L15</formula>
    </cfRule>
  </conditionalFormatting>
  <conditionalFormatting sqref="J15:J16 J20 J24 J28:J29 J33:J36 J40 J44:J54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</cols>
  <sheetData>
    <row r="1" ht="15.75" customHeight="1">
      <c r="A1" s="40" t="s">
        <v>54</v>
      </c>
      <c r="B1" s="40" t="s">
        <v>462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463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45000</v>
      </c>
      <c r="K6" s="42"/>
      <c r="L6" s="37">
        <v>43850.0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J24</f>
        <v>29000</v>
      </c>
      <c r="K7" s="42"/>
      <c r="L7" s="37">
        <v>21000.0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16000</v>
      </c>
      <c r="K8" s="42"/>
      <c r="L8" s="37">
        <v>22850.0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79" t="s">
        <v>143</v>
      </c>
      <c r="B10" s="79" t="s">
        <v>144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3990.0</v>
      </c>
      <c r="B12" s="52" t="s">
        <v>464</v>
      </c>
      <c r="C12" s="52"/>
      <c r="D12" s="52"/>
      <c r="E12" s="52"/>
      <c r="F12" s="52"/>
      <c r="G12" s="52"/>
      <c r="H12" s="52"/>
      <c r="I12" s="52"/>
      <c r="J12" s="73"/>
      <c r="K12" s="52"/>
      <c r="L12" s="7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465</v>
      </c>
      <c r="C13" s="43"/>
      <c r="D13" s="43"/>
      <c r="E13" s="43"/>
      <c r="F13" s="43"/>
      <c r="G13" s="43"/>
      <c r="H13" s="43"/>
      <c r="I13" s="43"/>
      <c r="J13" s="59">
        <v>45000.0</v>
      </c>
      <c r="L13" s="16">
        <v>43850.0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81" t="s">
        <v>147</v>
      </c>
      <c r="C14" s="81"/>
      <c r="D14" s="81"/>
      <c r="E14" s="81"/>
      <c r="F14" s="81"/>
      <c r="G14" s="81"/>
      <c r="H14" s="81"/>
      <c r="I14" s="81"/>
      <c r="J14" s="82">
        <f>SUM(J13)</f>
        <v>45000</v>
      </c>
      <c r="K14" s="31"/>
      <c r="L14" s="82">
        <v>43850.0</v>
      </c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49"/>
      <c r="Z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SUM(J11:J15)/2</f>
        <v>45000</v>
      </c>
      <c r="K16" s="47"/>
      <c r="L16" s="57">
        <v>43850.0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6950.0</v>
      </c>
      <c r="B18" s="52" t="s">
        <v>466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467</v>
      </c>
      <c r="C19" s="43"/>
      <c r="D19" s="43"/>
      <c r="E19" s="43"/>
      <c r="F19" s="43"/>
      <c r="G19" s="43"/>
      <c r="H19" s="43"/>
      <c r="I19" s="43"/>
      <c r="J19" s="59">
        <v>17000.0</v>
      </c>
      <c r="K19" s="43"/>
      <c r="L19" s="16">
        <v>10000.0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468</v>
      </c>
      <c r="C20" s="43"/>
      <c r="D20" s="43"/>
      <c r="E20" s="43"/>
      <c r="F20" s="43"/>
      <c r="G20" s="43"/>
      <c r="H20" s="43"/>
      <c r="I20" s="43"/>
      <c r="J20" s="59">
        <v>6000.0</v>
      </c>
      <c r="K20" s="43"/>
      <c r="L20" s="16">
        <v>5000.0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469</v>
      </c>
      <c r="C21" s="43"/>
      <c r="D21" s="43"/>
      <c r="E21" s="43"/>
      <c r="F21" s="43"/>
      <c r="G21" s="43"/>
      <c r="H21" s="43"/>
      <c r="I21" s="43"/>
      <c r="J21" s="16">
        <v>6000.0</v>
      </c>
      <c r="L21" s="16">
        <v>6000.0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81" t="s">
        <v>147</v>
      </c>
      <c r="C22" s="81"/>
      <c r="D22" s="81"/>
      <c r="E22" s="81"/>
      <c r="F22" s="81"/>
      <c r="G22" s="81"/>
      <c r="H22" s="81"/>
      <c r="I22" s="81"/>
      <c r="J22" s="82">
        <f>SUM(J19:J21)</f>
        <v>29000</v>
      </c>
      <c r="K22" s="31"/>
      <c r="L22" s="82">
        <v>21000.0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7"/>
      <c r="B24" s="47" t="s">
        <v>4</v>
      </c>
      <c r="C24" s="47"/>
      <c r="D24" s="47"/>
      <c r="E24" s="47"/>
      <c r="F24" s="47"/>
      <c r="G24" s="47"/>
      <c r="H24" s="47"/>
      <c r="I24" s="47"/>
      <c r="J24" s="57">
        <f>SUM(J17:J23)/2</f>
        <v>29000</v>
      </c>
      <c r="K24" s="47"/>
      <c r="L24" s="57">
        <v>21000.0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7"/>
      <c r="B26" s="47" t="s">
        <v>5</v>
      </c>
      <c r="C26" s="47"/>
      <c r="D26" s="47"/>
      <c r="E26" s="47"/>
      <c r="F26" s="47"/>
      <c r="G26" s="47"/>
      <c r="H26" s="47"/>
      <c r="I26" s="47"/>
      <c r="J26" s="57">
        <f>J16-J24</f>
        <v>16000</v>
      </c>
      <c r="K26" s="47"/>
      <c r="L26" s="57">
        <v>22850.0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9"/>
      <c r="G190" s="49"/>
      <c r="H190" s="49"/>
      <c r="I190" s="49"/>
      <c r="J190" s="49"/>
      <c r="K190" s="49"/>
      <c r="L190" s="99"/>
      <c r="M190" s="49"/>
      <c r="N190" s="49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9"/>
      <c r="G191" s="49"/>
      <c r="H191" s="49"/>
      <c r="I191" s="49"/>
      <c r="J191" s="49"/>
      <c r="K191" s="49"/>
      <c r="L191" s="99"/>
      <c r="M191" s="49"/>
      <c r="N191" s="49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9"/>
      <c r="G192" s="49"/>
      <c r="H192" s="49"/>
      <c r="I192" s="49"/>
      <c r="J192" s="49"/>
      <c r="K192" s="49"/>
      <c r="L192" s="99"/>
      <c r="M192" s="49"/>
      <c r="N192" s="49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9"/>
      <c r="G193" s="49"/>
      <c r="H193" s="49"/>
      <c r="I193" s="49"/>
      <c r="J193" s="49"/>
      <c r="K193" s="49"/>
      <c r="L193" s="99"/>
      <c r="M193" s="49"/>
      <c r="N193" s="49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9"/>
      <c r="G194" s="49"/>
      <c r="H194" s="49"/>
      <c r="I194" s="49"/>
      <c r="J194" s="49"/>
      <c r="K194" s="49"/>
      <c r="L194" s="99"/>
      <c r="M194" s="49"/>
      <c r="N194" s="49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9"/>
      <c r="G195" s="49"/>
      <c r="H195" s="49"/>
      <c r="I195" s="49"/>
      <c r="J195" s="49"/>
      <c r="K195" s="49"/>
      <c r="L195" s="99"/>
      <c r="M195" s="49"/>
      <c r="N195" s="49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9"/>
      <c r="G196" s="49"/>
      <c r="H196" s="49"/>
      <c r="I196" s="49"/>
      <c r="J196" s="49"/>
      <c r="K196" s="49"/>
      <c r="L196" s="99"/>
      <c r="M196" s="49"/>
      <c r="N196" s="49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9"/>
      <c r="G197" s="49"/>
      <c r="H197" s="49"/>
      <c r="I197" s="49"/>
      <c r="J197" s="49"/>
      <c r="K197" s="49"/>
      <c r="L197" s="99"/>
      <c r="M197" s="49"/>
      <c r="N197" s="49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9"/>
      <c r="G198" s="49"/>
      <c r="H198" s="49"/>
      <c r="I198" s="49"/>
      <c r="J198" s="49"/>
      <c r="K198" s="49"/>
      <c r="L198" s="99"/>
      <c r="M198" s="49"/>
      <c r="N198" s="49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9"/>
      <c r="G199" s="49"/>
      <c r="H199" s="49"/>
      <c r="I199" s="49"/>
      <c r="J199" s="49"/>
      <c r="K199" s="49"/>
      <c r="L199" s="99"/>
      <c r="M199" s="49"/>
      <c r="N199" s="49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9"/>
      <c r="G200" s="49"/>
      <c r="H200" s="49"/>
      <c r="I200" s="49"/>
      <c r="J200" s="49"/>
      <c r="K200" s="49"/>
      <c r="L200" s="99"/>
      <c r="M200" s="49"/>
      <c r="N200" s="49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9"/>
      <c r="G201" s="49"/>
      <c r="H201" s="49"/>
      <c r="I201" s="49"/>
      <c r="J201" s="49"/>
      <c r="K201" s="49"/>
      <c r="L201" s="99"/>
      <c r="M201" s="49"/>
      <c r="N201" s="49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9"/>
      <c r="G202" s="49"/>
      <c r="H202" s="49"/>
      <c r="I202" s="49"/>
      <c r="J202" s="49"/>
      <c r="K202" s="49"/>
      <c r="L202" s="99"/>
      <c r="M202" s="49"/>
      <c r="N202" s="49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9"/>
      <c r="G203" s="49"/>
      <c r="H203" s="49"/>
      <c r="I203" s="49"/>
      <c r="J203" s="49"/>
      <c r="K203" s="49"/>
      <c r="L203" s="99"/>
      <c r="M203" s="49"/>
      <c r="N203" s="49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9"/>
      <c r="G204" s="49"/>
      <c r="H204" s="49"/>
      <c r="I204" s="49"/>
      <c r="J204" s="49"/>
      <c r="K204" s="49"/>
      <c r="L204" s="99"/>
      <c r="M204" s="49"/>
      <c r="N204" s="49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9"/>
      <c r="G205" s="49"/>
      <c r="H205" s="49"/>
      <c r="I205" s="49"/>
      <c r="J205" s="49"/>
      <c r="K205" s="49"/>
      <c r="L205" s="99"/>
      <c r="M205" s="49"/>
      <c r="N205" s="49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9"/>
      <c r="G206" s="49"/>
      <c r="H206" s="49"/>
      <c r="I206" s="49"/>
      <c r="J206" s="49"/>
      <c r="K206" s="49"/>
      <c r="L206" s="99"/>
      <c r="M206" s="49"/>
      <c r="N206" s="49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9"/>
      <c r="G207" s="49"/>
      <c r="H207" s="49"/>
      <c r="I207" s="49"/>
      <c r="J207" s="49"/>
      <c r="K207" s="49"/>
      <c r="L207" s="99"/>
      <c r="M207" s="49"/>
      <c r="N207" s="49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9"/>
      <c r="G208" s="49"/>
      <c r="H208" s="49"/>
      <c r="I208" s="49"/>
      <c r="J208" s="49"/>
      <c r="K208" s="49"/>
      <c r="L208" s="99"/>
      <c r="M208" s="49"/>
      <c r="N208" s="49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9"/>
      <c r="G209" s="49"/>
      <c r="H209" s="49"/>
      <c r="I209" s="49"/>
      <c r="J209" s="49"/>
      <c r="K209" s="49"/>
      <c r="L209" s="99"/>
      <c r="M209" s="49"/>
      <c r="N209" s="49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9"/>
      <c r="G210" s="49"/>
      <c r="H210" s="49"/>
      <c r="I210" s="49"/>
      <c r="J210" s="49"/>
      <c r="K210" s="49"/>
      <c r="L210" s="99"/>
      <c r="M210" s="49"/>
      <c r="N210" s="49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9"/>
      <c r="G211" s="49"/>
      <c r="H211" s="49"/>
      <c r="I211" s="49"/>
      <c r="J211" s="49"/>
      <c r="K211" s="49"/>
      <c r="L211" s="99"/>
      <c r="M211" s="49"/>
      <c r="N211" s="49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9"/>
      <c r="G212" s="49"/>
      <c r="H212" s="49"/>
      <c r="I212" s="49"/>
      <c r="J212" s="49"/>
      <c r="K212" s="49"/>
      <c r="L212" s="99"/>
      <c r="M212" s="49"/>
      <c r="N212" s="49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9"/>
      <c r="G213" s="49"/>
      <c r="H213" s="49"/>
      <c r="I213" s="49"/>
      <c r="J213" s="49"/>
      <c r="K213" s="49"/>
      <c r="L213" s="99"/>
      <c r="M213" s="49"/>
      <c r="N213" s="49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9"/>
      <c r="G214" s="49"/>
      <c r="H214" s="49"/>
      <c r="I214" s="49"/>
      <c r="J214" s="49"/>
      <c r="K214" s="49"/>
      <c r="L214" s="99"/>
      <c r="M214" s="49"/>
      <c r="N214" s="49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9"/>
      <c r="G215" s="49"/>
      <c r="H215" s="49"/>
      <c r="I215" s="49"/>
      <c r="J215" s="49"/>
      <c r="K215" s="49"/>
      <c r="L215" s="99"/>
      <c r="M215" s="49"/>
      <c r="N215" s="49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9"/>
      <c r="G216" s="49"/>
      <c r="H216" s="49"/>
      <c r="I216" s="49"/>
      <c r="J216" s="49"/>
      <c r="K216" s="49"/>
      <c r="L216" s="99"/>
      <c r="M216" s="49"/>
      <c r="N216" s="49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9"/>
      <c r="G217" s="49"/>
      <c r="H217" s="49"/>
      <c r="I217" s="49"/>
      <c r="J217" s="49"/>
      <c r="K217" s="49"/>
      <c r="L217" s="99"/>
      <c r="M217" s="49"/>
      <c r="N217" s="49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9"/>
      <c r="G218" s="49"/>
      <c r="H218" s="49"/>
      <c r="I218" s="49"/>
      <c r="J218" s="49"/>
      <c r="K218" s="49"/>
      <c r="L218" s="99"/>
      <c r="M218" s="49"/>
      <c r="N218" s="49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9"/>
      <c r="G219" s="49"/>
      <c r="H219" s="49"/>
      <c r="I219" s="49"/>
      <c r="J219" s="49"/>
      <c r="K219" s="49"/>
      <c r="L219" s="99"/>
      <c r="M219" s="49"/>
      <c r="N219" s="49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9"/>
      <c r="G220" s="49"/>
      <c r="H220" s="49"/>
      <c r="I220" s="49"/>
      <c r="J220" s="49"/>
      <c r="K220" s="49"/>
      <c r="L220" s="99"/>
      <c r="M220" s="49"/>
      <c r="N220" s="49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9"/>
      <c r="G221" s="49"/>
      <c r="H221" s="49"/>
      <c r="I221" s="49"/>
      <c r="J221" s="49"/>
      <c r="K221" s="49"/>
      <c r="L221" s="99"/>
      <c r="M221" s="49"/>
      <c r="N221" s="49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9"/>
      <c r="G222" s="49"/>
      <c r="H222" s="49"/>
      <c r="I222" s="49"/>
      <c r="J222" s="49"/>
      <c r="K222" s="49"/>
      <c r="L222" s="99"/>
      <c r="M222" s="49"/>
      <c r="N222" s="49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9"/>
      <c r="G223" s="49"/>
      <c r="H223" s="49"/>
      <c r="I223" s="49"/>
      <c r="J223" s="49"/>
      <c r="K223" s="49"/>
      <c r="L223" s="99"/>
      <c r="M223" s="49"/>
      <c r="N223" s="49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9"/>
      <c r="G224" s="49"/>
      <c r="H224" s="49"/>
      <c r="I224" s="49"/>
      <c r="J224" s="49"/>
      <c r="K224" s="49"/>
      <c r="L224" s="99"/>
      <c r="M224" s="49"/>
      <c r="N224" s="49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9"/>
      <c r="G225" s="49"/>
      <c r="H225" s="49"/>
      <c r="I225" s="49"/>
      <c r="J225" s="49"/>
      <c r="K225" s="49"/>
      <c r="L225" s="99"/>
      <c r="M225" s="49"/>
      <c r="N225" s="49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9"/>
      <c r="G226" s="49"/>
      <c r="H226" s="49"/>
      <c r="I226" s="49"/>
      <c r="J226" s="49"/>
      <c r="K226" s="49"/>
      <c r="L226" s="99"/>
      <c r="M226" s="49"/>
      <c r="N226" s="49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F227" s="49"/>
      <c r="G227" s="49"/>
      <c r="H227" s="49"/>
      <c r="I227" s="49"/>
      <c r="J227" s="49"/>
      <c r="K227" s="49"/>
      <c r="L227" s="49"/>
      <c r="M227" s="49"/>
      <c r="N227" s="49"/>
    </row>
    <row r="228" ht="15.75" customHeight="1">
      <c r="F228" s="49"/>
      <c r="G228" s="49"/>
      <c r="H228" s="49"/>
      <c r="I228" s="49"/>
      <c r="J228" s="49"/>
      <c r="K228" s="49"/>
      <c r="L228" s="49"/>
      <c r="M228" s="49"/>
      <c r="N228" s="49"/>
    </row>
    <row r="229" ht="15.75" customHeight="1">
      <c r="F229" s="49"/>
      <c r="G229" s="49"/>
      <c r="H229" s="49"/>
      <c r="I229" s="49"/>
      <c r="J229" s="49"/>
      <c r="K229" s="49"/>
      <c r="L229" s="49"/>
      <c r="M229" s="49"/>
      <c r="N229" s="49"/>
    </row>
    <row r="230" ht="15.75" customHeight="1">
      <c r="F230" s="49"/>
      <c r="G230" s="49"/>
      <c r="H230" s="49"/>
      <c r="I230" s="49"/>
      <c r="J230" s="49"/>
      <c r="K230" s="49"/>
      <c r="L230" s="49"/>
      <c r="M230" s="49"/>
      <c r="N230" s="49"/>
    </row>
    <row r="231" ht="15.75" customHeight="1">
      <c r="F231" s="49"/>
      <c r="G231" s="49"/>
      <c r="H231" s="49"/>
      <c r="I231" s="49"/>
      <c r="J231" s="49"/>
      <c r="K231" s="49"/>
      <c r="L231" s="49"/>
      <c r="M231" s="49"/>
      <c r="N231" s="49"/>
    </row>
    <row r="232" ht="15.75" customHeight="1">
      <c r="F232" s="49"/>
      <c r="G232" s="49"/>
      <c r="H232" s="49"/>
      <c r="I232" s="49"/>
      <c r="J232" s="49"/>
      <c r="K232" s="49"/>
      <c r="L232" s="49"/>
      <c r="M232" s="49"/>
      <c r="N232" s="49"/>
    </row>
    <row r="233" ht="15.75" customHeight="1">
      <c r="F233" s="49"/>
      <c r="G233" s="49"/>
      <c r="H233" s="49"/>
      <c r="I233" s="49"/>
      <c r="J233" s="49"/>
      <c r="K233" s="49"/>
      <c r="L233" s="49"/>
      <c r="M233" s="49"/>
      <c r="N233" s="49"/>
    </row>
    <row r="234" ht="15.75" customHeight="1">
      <c r="F234" s="49"/>
      <c r="G234" s="49"/>
      <c r="H234" s="49"/>
      <c r="I234" s="49"/>
      <c r="J234" s="49"/>
      <c r="K234" s="49"/>
      <c r="L234" s="49"/>
      <c r="M234" s="49"/>
      <c r="N234" s="49"/>
    </row>
    <row r="235" ht="15.75" customHeight="1">
      <c r="F235" s="49"/>
      <c r="G235" s="49"/>
      <c r="H235" s="49"/>
      <c r="I235" s="49"/>
      <c r="J235" s="49"/>
      <c r="K235" s="49"/>
      <c r="L235" s="49"/>
      <c r="M235" s="49"/>
      <c r="N235" s="49"/>
    </row>
    <row r="236" ht="15.75" customHeight="1">
      <c r="F236" s="49"/>
      <c r="G236" s="49"/>
      <c r="H236" s="49"/>
      <c r="I236" s="49"/>
      <c r="J236" s="49"/>
      <c r="K236" s="49"/>
      <c r="L236" s="49"/>
      <c r="M236" s="49"/>
      <c r="N236" s="4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:J21">
    <cfRule type="cellIs" dxfId="0" priority="1" operator="greaterThan">
      <formula>L13</formula>
    </cfRule>
  </conditionalFormatting>
  <conditionalFormatting sqref="J13 J19:J21">
    <cfRule type="cellIs" dxfId="1" priority="2" operator="lessThan">
      <formula>L13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2.0"/>
    <col customWidth="1" min="8" max="8" width="9.13"/>
    <col customWidth="1" min="9" max="9" width="2.38"/>
    <col customWidth="1" min="10" max="10" width="16.63"/>
    <col customWidth="1" min="11" max="11" width="9.13"/>
    <col customWidth="1" min="12" max="12" width="16.63"/>
  </cols>
  <sheetData>
    <row r="1" ht="15.75" customHeight="1">
      <c r="A1" s="40" t="s">
        <v>55</v>
      </c>
      <c r="B1" s="40" t="s">
        <v>470</v>
      </c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1.5" customHeight="1">
      <c r="A2" s="77" t="s">
        <v>471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J40</f>
        <v>36476.14</v>
      </c>
      <c r="K7" s="42"/>
      <c r="L7" s="37">
        <v>66550.0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-36476.14</v>
      </c>
      <c r="K8" s="42"/>
      <c r="L8" s="37">
        <v>-66550.0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16"/>
      <c r="K9" s="43"/>
      <c r="L9" s="16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79" t="s">
        <v>143</v>
      </c>
      <c r="B10" s="79" t="s">
        <v>144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f>0</f>
        <v>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52"/>
      <c r="C13" s="52"/>
      <c r="D13" s="52"/>
      <c r="E13" s="52"/>
      <c r="F13" s="52"/>
      <c r="G13" s="52"/>
      <c r="H13" s="52"/>
      <c r="I13" s="52"/>
      <c r="J13" s="73"/>
      <c r="K13" s="52"/>
      <c r="L13" s="7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7603.0</v>
      </c>
      <c r="B14" s="52" t="s">
        <v>472</v>
      </c>
      <c r="C14" s="52"/>
      <c r="D14" s="52"/>
      <c r="E14" s="52"/>
      <c r="F14" s="52"/>
      <c r="G14" s="52"/>
      <c r="H14" s="52"/>
      <c r="I14" s="52"/>
      <c r="J14" s="73"/>
      <c r="K14" s="52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473</v>
      </c>
      <c r="C15" s="43"/>
      <c r="D15" s="43"/>
      <c r="E15" s="43"/>
      <c r="F15" s="43"/>
      <c r="G15" s="43"/>
      <c r="H15" s="43"/>
      <c r="I15" s="43"/>
      <c r="J15" s="16">
        <v>10000.0</v>
      </c>
      <c r="L15" s="16">
        <v>10000.0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81"/>
      <c r="D16" s="81"/>
      <c r="E16" s="81"/>
      <c r="F16" s="81"/>
      <c r="G16" s="81"/>
      <c r="H16" s="81"/>
      <c r="I16" s="81"/>
      <c r="J16" s="82">
        <f>SUM(J15)</f>
        <v>10000</v>
      </c>
      <c r="K16" s="31"/>
      <c r="L16" s="82">
        <v>10000.0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7602.0</v>
      </c>
      <c r="B18" s="52" t="s">
        <v>194</v>
      </c>
      <c r="C18" s="52"/>
      <c r="D18" s="52"/>
      <c r="E18" s="52"/>
      <c r="F18" s="52"/>
      <c r="G18" s="52"/>
      <c r="H18" s="52"/>
      <c r="I18" s="52"/>
      <c r="J18" s="7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16</v>
      </c>
      <c r="C19" s="43"/>
      <c r="D19" s="43"/>
      <c r="E19" s="43"/>
      <c r="F19" s="43"/>
      <c r="G19" s="43"/>
      <c r="H19" s="43"/>
      <c r="I19" s="43"/>
      <c r="J19" s="59">
        <v>3500.0</v>
      </c>
      <c r="L19" s="16">
        <v>3500.0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21</v>
      </c>
      <c r="C20" s="43"/>
      <c r="D20" s="43"/>
      <c r="E20" s="43"/>
      <c r="F20" s="43"/>
      <c r="G20" s="43"/>
      <c r="H20" s="43"/>
      <c r="I20" s="43"/>
      <c r="J20" s="59">
        <v>607.2</v>
      </c>
      <c r="L20" s="16">
        <v>2850.0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43</v>
      </c>
      <c r="C21" s="43"/>
      <c r="D21" s="43"/>
      <c r="E21" s="43"/>
      <c r="F21" s="43"/>
      <c r="G21" s="43"/>
      <c r="H21" s="43"/>
      <c r="I21" s="43"/>
      <c r="J21" s="118">
        <v>770.46</v>
      </c>
      <c r="L21" s="16">
        <v>7500.0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31</v>
      </c>
      <c r="C22" s="43"/>
      <c r="D22" s="43"/>
      <c r="E22" s="43"/>
      <c r="F22" s="43"/>
      <c r="G22" s="43"/>
      <c r="H22" s="43"/>
      <c r="I22" s="43"/>
      <c r="J22" s="59">
        <v>400.0</v>
      </c>
      <c r="L22" s="16">
        <v>3000.0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58</v>
      </c>
      <c r="C23" s="43"/>
      <c r="D23" s="43"/>
      <c r="E23" s="43"/>
      <c r="F23" s="43"/>
      <c r="G23" s="43"/>
      <c r="H23" s="43"/>
      <c r="I23" s="43"/>
      <c r="J23" s="16">
        <v>14000.0</v>
      </c>
      <c r="L23" s="16">
        <v>14000.0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474</v>
      </c>
      <c r="C24" s="43"/>
      <c r="D24" s="43"/>
      <c r="E24" s="43"/>
      <c r="F24" s="43"/>
      <c r="G24" s="43"/>
      <c r="H24" s="43"/>
      <c r="I24" s="43"/>
      <c r="J24" s="119">
        <v>777.38</v>
      </c>
      <c r="L24" s="16">
        <v>2300.0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38</v>
      </c>
      <c r="C25" s="52"/>
      <c r="D25" s="52"/>
      <c r="E25" s="52"/>
      <c r="F25" s="52"/>
      <c r="G25" s="52"/>
      <c r="H25" s="52"/>
      <c r="I25" s="52"/>
      <c r="J25" s="59">
        <v>118.33</v>
      </c>
      <c r="L25" s="16">
        <v>1000.0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70</v>
      </c>
      <c r="C26" s="52"/>
      <c r="D26" s="52"/>
      <c r="E26" s="52"/>
      <c r="F26" s="52"/>
      <c r="G26" s="52"/>
      <c r="H26" s="52"/>
      <c r="I26" s="52"/>
      <c r="J26" s="59">
        <v>518.81</v>
      </c>
      <c r="L26" s="16">
        <v>3000.0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66</v>
      </c>
      <c r="C27" s="52"/>
      <c r="D27" s="52"/>
      <c r="E27" s="52"/>
      <c r="F27" s="52"/>
      <c r="G27" s="52"/>
      <c r="H27" s="52"/>
      <c r="I27" s="52"/>
      <c r="J27" s="120">
        <v>181.94</v>
      </c>
      <c r="L27" s="16">
        <v>1100.0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27</v>
      </c>
      <c r="C28" s="52"/>
      <c r="D28" s="52"/>
      <c r="E28" s="52"/>
      <c r="F28" s="52"/>
      <c r="G28" s="52"/>
      <c r="H28" s="52"/>
      <c r="I28" s="52"/>
      <c r="J28" s="59">
        <v>317.5</v>
      </c>
      <c r="L28" s="16">
        <v>1500.0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475</v>
      </c>
      <c r="C29" s="52"/>
      <c r="D29" s="52"/>
      <c r="E29" s="52"/>
      <c r="F29" s="52"/>
      <c r="G29" s="52"/>
      <c r="H29" s="52"/>
      <c r="I29" s="52"/>
      <c r="J29" s="59">
        <v>0.0</v>
      </c>
      <c r="L29" s="16">
        <v>2000.0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476</v>
      </c>
      <c r="C30" s="52"/>
      <c r="D30" s="52"/>
      <c r="E30" s="52"/>
      <c r="F30" s="52"/>
      <c r="G30" s="52"/>
      <c r="H30" s="52"/>
      <c r="I30" s="52"/>
      <c r="J30" s="59">
        <v>0.0</v>
      </c>
      <c r="L30" s="16">
        <v>2500.0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477</v>
      </c>
      <c r="C31" s="52"/>
      <c r="D31" s="52"/>
      <c r="E31" s="52"/>
      <c r="F31" s="52"/>
      <c r="G31" s="52"/>
      <c r="H31" s="52"/>
      <c r="I31" s="52"/>
      <c r="J31" s="59">
        <v>5000.0</v>
      </c>
      <c r="L31" s="16">
        <v>8500.0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 t="s">
        <v>91</v>
      </c>
      <c r="C32" s="52"/>
      <c r="D32" s="52"/>
      <c r="E32" s="52"/>
      <c r="F32" s="52"/>
      <c r="G32" s="52"/>
      <c r="H32" s="52"/>
      <c r="I32" s="52"/>
      <c r="J32" s="59">
        <v>0.0</v>
      </c>
      <c r="L32" s="16">
        <v>500.0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 t="s">
        <v>24</v>
      </c>
      <c r="C33" s="52"/>
      <c r="D33" s="52"/>
      <c r="E33" s="52"/>
      <c r="F33" s="52"/>
      <c r="G33" s="52"/>
      <c r="H33" s="52"/>
      <c r="I33" s="52"/>
      <c r="J33" s="59">
        <v>284.52</v>
      </c>
      <c r="L33" s="16">
        <v>1500.0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478</v>
      </c>
      <c r="C34" s="52"/>
      <c r="D34" s="52"/>
      <c r="E34" s="52"/>
      <c r="F34" s="52"/>
      <c r="G34" s="52"/>
      <c r="H34" s="52"/>
      <c r="I34" s="52"/>
      <c r="J34" s="59">
        <v>0.0</v>
      </c>
      <c r="L34" s="16">
        <v>300.0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88</v>
      </c>
      <c r="C35" s="52"/>
      <c r="D35" s="52"/>
      <c r="E35" s="52"/>
      <c r="F35" s="52"/>
      <c r="G35" s="52"/>
      <c r="H35" s="52"/>
      <c r="I35" s="52"/>
      <c r="J35" s="59">
        <v>0.0</v>
      </c>
      <c r="L35" s="16">
        <v>500.0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77</v>
      </c>
      <c r="C36" s="52"/>
      <c r="D36" s="52"/>
      <c r="E36" s="52"/>
      <c r="F36" s="52"/>
      <c r="G36" s="52"/>
      <c r="H36" s="52"/>
      <c r="I36" s="52"/>
      <c r="J36" s="59">
        <v>0.0</v>
      </c>
      <c r="L36" s="16">
        <v>1000.0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81" t="s">
        <v>147</v>
      </c>
      <c r="C37" s="81"/>
      <c r="D37" s="81"/>
      <c r="E37" s="81"/>
      <c r="F37" s="81"/>
      <c r="G37" s="81"/>
      <c r="H37" s="81"/>
      <c r="I37" s="81"/>
      <c r="J37" s="82">
        <f>SUM(J19:J36)</f>
        <v>26476.14</v>
      </c>
      <c r="K37" s="31"/>
      <c r="L37" s="82">
        <v>56550.0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16"/>
      <c r="K39" s="43"/>
      <c r="L39" s="16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7"/>
      <c r="B40" s="47" t="s">
        <v>4</v>
      </c>
      <c r="C40" s="47"/>
      <c r="D40" s="47"/>
      <c r="E40" s="47"/>
      <c r="F40" s="47"/>
      <c r="G40" s="47"/>
      <c r="H40" s="47"/>
      <c r="I40" s="47"/>
      <c r="J40" s="57">
        <f>SUM(J13:J39)/2</f>
        <v>36476.14</v>
      </c>
      <c r="K40" s="47"/>
      <c r="L40" s="57">
        <v>66550.0</v>
      </c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16"/>
      <c r="K41" s="43"/>
      <c r="L41" s="16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7"/>
      <c r="B42" s="47" t="s">
        <v>5</v>
      </c>
      <c r="C42" s="47"/>
      <c r="D42" s="47"/>
      <c r="E42" s="47"/>
      <c r="F42" s="47"/>
      <c r="G42" s="47"/>
      <c r="H42" s="47"/>
      <c r="I42" s="47"/>
      <c r="J42" s="57">
        <f>J12-J40</f>
        <v>-36476.14</v>
      </c>
      <c r="K42" s="47"/>
      <c r="L42" s="57">
        <v>-66550.0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1:J1"/>
    <mergeCell ref="A2:C2"/>
    <mergeCell ref="A6:B6"/>
    <mergeCell ref="A7:B7"/>
    <mergeCell ref="A8:B8"/>
  </mergeCells>
  <conditionalFormatting sqref="J15 J19:J36">
    <cfRule type="cellIs" dxfId="0" priority="1" operator="greaterThan">
      <formula>L15</formula>
    </cfRule>
  </conditionalFormatting>
  <conditionalFormatting sqref="J15 J19:J36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13"/>
    <col customWidth="1" min="5" max="5" width="2.0"/>
    <col customWidth="1" min="6" max="6" width="5.25"/>
    <col customWidth="1" min="7" max="7" width="1.88"/>
    <col customWidth="1" min="8" max="8" width="8.0"/>
    <col customWidth="1" min="9" max="9" width="1.88"/>
    <col customWidth="1" min="10" max="10" width="16.88"/>
    <col customWidth="1" min="11" max="11" width="8.0"/>
  </cols>
  <sheetData>
    <row r="1" ht="15.75" customHeight="1">
      <c r="A1" s="40" t="s">
        <v>56</v>
      </c>
      <c r="B1" s="40" t="s">
        <v>479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15.75" customHeight="1">
      <c r="A2" s="77" t="s">
        <v>480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J22</f>
        <v>0</v>
      </c>
      <c r="K7" s="42"/>
      <c r="L7" s="37">
        <v>0.0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2"/>
      <c r="L8" s="37">
        <v>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79" t="s">
        <v>143</v>
      </c>
      <c r="B10" s="79" t="s">
        <v>144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8811.0</v>
      </c>
      <c r="B14" s="52" t="s">
        <v>481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49"/>
    </row>
    <row r="15" ht="15.75" customHeight="1">
      <c r="A15" s="43"/>
      <c r="B15" s="43" t="s">
        <v>482</v>
      </c>
      <c r="C15" s="43"/>
      <c r="D15" s="43"/>
      <c r="E15" s="43"/>
      <c r="F15" s="43"/>
      <c r="G15" s="43"/>
      <c r="H15" s="43"/>
      <c r="I15" s="43"/>
      <c r="J15" s="59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483</v>
      </c>
      <c r="C16" s="43"/>
      <c r="D16" s="43"/>
      <c r="E16" s="43"/>
      <c r="F16" s="43"/>
      <c r="G16" s="43"/>
      <c r="H16" s="43"/>
      <c r="I16" s="43"/>
      <c r="J16" s="16">
        <v>0.0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43" t="s">
        <v>484</v>
      </c>
      <c r="C17" s="43"/>
      <c r="D17" s="43"/>
      <c r="E17" s="43"/>
      <c r="F17" s="43"/>
      <c r="G17" s="43"/>
      <c r="H17" s="43"/>
      <c r="I17" s="43"/>
      <c r="J17" s="16">
        <v>0.0</v>
      </c>
      <c r="K17" s="43"/>
      <c r="L17" s="16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 t="s">
        <v>485</v>
      </c>
      <c r="C18" s="43"/>
      <c r="D18" s="43"/>
      <c r="E18" s="43"/>
      <c r="F18" s="43"/>
      <c r="G18" s="43"/>
      <c r="H18" s="43"/>
      <c r="I18" s="43"/>
      <c r="J18" s="16">
        <v>0.0</v>
      </c>
      <c r="K18" s="43"/>
      <c r="L18" s="16">
        <v>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486</v>
      </c>
      <c r="C19" s="52"/>
      <c r="D19" s="52"/>
      <c r="E19" s="52"/>
      <c r="F19" s="52"/>
      <c r="G19" s="52"/>
      <c r="H19" s="52"/>
      <c r="I19" s="52"/>
      <c r="J19" s="16">
        <v>0.0</v>
      </c>
      <c r="L19" s="16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SUM(J15:J19)</f>
        <v>0</v>
      </c>
      <c r="K20" s="31"/>
      <c r="L20" s="82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7"/>
      <c r="B22" s="47" t="s">
        <v>4</v>
      </c>
      <c r="C22" s="47"/>
      <c r="D22" s="47"/>
      <c r="E22" s="47"/>
      <c r="F22" s="47"/>
      <c r="G22" s="47"/>
      <c r="H22" s="47"/>
      <c r="I22" s="47"/>
      <c r="J22" s="57">
        <f>SUM(J13:J21)/2</f>
        <v>0</v>
      </c>
      <c r="K22" s="47"/>
      <c r="L22" s="57">
        <v>0.0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49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16"/>
      <c r="K23" s="43"/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7"/>
      <c r="B24" s="47" t="s">
        <v>5</v>
      </c>
      <c r="C24" s="47"/>
      <c r="D24" s="47"/>
      <c r="E24" s="47"/>
      <c r="F24" s="47"/>
      <c r="G24" s="47"/>
      <c r="H24" s="47"/>
      <c r="I24" s="47"/>
      <c r="J24" s="57">
        <f>J12-J22</f>
        <v>0</v>
      </c>
      <c r="K24" s="47"/>
      <c r="L24" s="57">
        <v>0.0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L31" s="2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L32" s="2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L33" s="2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9"/>
      <c r="K186" s="49"/>
      <c r="L186" s="99"/>
      <c r="M186" s="49"/>
      <c r="N186" s="49"/>
      <c r="O186" s="49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9"/>
      <c r="K187" s="49"/>
      <c r="L187" s="99"/>
      <c r="M187" s="49"/>
      <c r="N187" s="49"/>
      <c r="O187" s="49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9"/>
      <c r="K188" s="49"/>
      <c r="L188" s="99"/>
      <c r="M188" s="49"/>
      <c r="N188" s="49"/>
      <c r="O188" s="49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9"/>
      <c r="K189" s="49"/>
      <c r="L189" s="99"/>
      <c r="M189" s="49"/>
      <c r="N189" s="49"/>
      <c r="O189" s="49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9"/>
      <c r="K190" s="49"/>
      <c r="L190" s="99"/>
      <c r="M190" s="49"/>
      <c r="N190" s="49"/>
      <c r="O190" s="49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9"/>
      <c r="K191" s="49"/>
      <c r="L191" s="99"/>
      <c r="M191" s="49"/>
      <c r="N191" s="49"/>
      <c r="O191" s="49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9"/>
      <c r="K192" s="49"/>
      <c r="L192" s="99"/>
      <c r="M192" s="49"/>
      <c r="N192" s="49"/>
      <c r="O192" s="49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9"/>
      <c r="K193" s="49"/>
      <c r="L193" s="99"/>
      <c r="M193" s="49"/>
      <c r="N193" s="49"/>
      <c r="O193" s="49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9"/>
      <c r="K194" s="49"/>
      <c r="L194" s="99"/>
      <c r="M194" s="49"/>
      <c r="N194" s="49"/>
      <c r="O194" s="49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9"/>
      <c r="K195" s="49"/>
      <c r="L195" s="99"/>
      <c r="M195" s="49"/>
      <c r="N195" s="49"/>
      <c r="O195" s="49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9"/>
      <c r="K196" s="49"/>
      <c r="L196" s="99"/>
      <c r="M196" s="49"/>
      <c r="N196" s="49"/>
      <c r="O196" s="49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9"/>
      <c r="K197" s="49"/>
      <c r="L197" s="99"/>
      <c r="M197" s="49"/>
      <c r="N197" s="49"/>
      <c r="O197" s="49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9"/>
      <c r="K198" s="49"/>
      <c r="L198" s="99"/>
      <c r="M198" s="49"/>
      <c r="N198" s="49"/>
      <c r="O198" s="49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9"/>
      <c r="K199" s="49"/>
      <c r="L199" s="99"/>
      <c r="M199" s="49"/>
      <c r="N199" s="49"/>
      <c r="O199" s="49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9"/>
      <c r="K200" s="49"/>
      <c r="L200" s="99"/>
      <c r="M200" s="49"/>
      <c r="N200" s="49"/>
      <c r="O200" s="49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9"/>
      <c r="K201" s="49"/>
      <c r="L201" s="99"/>
      <c r="M201" s="49"/>
      <c r="N201" s="49"/>
      <c r="O201" s="49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9"/>
      <c r="K202" s="49"/>
      <c r="L202" s="99"/>
      <c r="M202" s="49"/>
      <c r="N202" s="49"/>
      <c r="O202" s="49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9"/>
      <c r="K203" s="49"/>
      <c r="L203" s="99"/>
      <c r="M203" s="49"/>
      <c r="N203" s="49"/>
      <c r="O203" s="49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9"/>
      <c r="K204" s="49"/>
      <c r="L204" s="99"/>
      <c r="M204" s="49"/>
      <c r="N204" s="49"/>
      <c r="O204" s="49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9"/>
      <c r="K205" s="49"/>
      <c r="L205" s="99"/>
      <c r="M205" s="49"/>
      <c r="N205" s="49"/>
      <c r="O205" s="49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9"/>
      <c r="K206" s="49"/>
      <c r="L206" s="99"/>
      <c r="M206" s="49"/>
      <c r="N206" s="49"/>
      <c r="O206" s="49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9"/>
      <c r="K207" s="49"/>
      <c r="L207" s="99"/>
      <c r="M207" s="49"/>
      <c r="N207" s="49"/>
      <c r="O207" s="49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9"/>
      <c r="K208" s="49"/>
      <c r="L208" s="99"/>
      <c r="M208" s="49"/>
      <c r="N208" s="49"/>
      <c r="O208" s="49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9"/>
      <c r="K209" s="49"/>
      <c r="L209" s="99"/>
      <c r="M209" s="49"/>
      <c r="N209" s="49"/>
      <c r="O209" s="49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9"/>
      <c r="K210" s="49"/>
      <c r="L210" s="99"/>
      <c r="M210" s="49"/>
      <c r="N210" s="49"/>
      <c r="O210" s="49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9"/>
      <c r="K211" s="49"/>
      <c r="L211" s="99"/>
      <c r="M211" s="49"/>
      <c r="N211" s="49"/>
      <c r="O211" s="49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9"/>
      <c r="K212" s="49"/>
      <c r="L212" s="99"/>
      <c r="M212" s="49"/>
      <c r="N212" s="49"/>
      <c r="O212" s="49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9"/>
      <c r="K213" s="49"/>
      <c r="L213" s="99"/>
      <c r="M213" s="49"/>
      <c r="N213" s="49"/>
      <c r="O213" s="49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9"/>
      <c r="K214" s="49"/>
      <c r="L214" s="99"/>
      <c r="M214" s="49"/>
      <c r="N214" s="49"/>
      <c r="O214" s="49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9"/>
      <c r="K215" s="49"/>
      <c r="L215" s="99"/>
      <c r="M215" s="49"/>
      <c r="N215" s="49"/>
      <c r="O215" s="49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9"/>
      <c r="K216" s="49"/>
      <c r="L216" s="99"/>
      <c r="M216" s="49"/>
      <c r="N216" s="49"/>
      <c r="O216" s="49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9"/>
      <c r="K217" s="49"/>
      <c r="L217" s="99"/>
      <c r="M217" s="49"/>
      <c r="N217" s="49"/>
      <c r="O217" s="49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9"/>
      <c r="K218" s="49"/>
      <c r="L218" s="99"/>
      <c r="M218" s="49"/>
      <c r="N218" s="49"/>
      <c r="O218" s="49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9"/>
      <c r="K219" s="49"/>
      <c r="L219" s="99"/>
      <c r="M219" s="49"/>
      <c r="N219" s="49"/>
      <c r="O219" s="49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9"/>
      <c r="K220" s="49"/>
      <c r="L220" s="99"/>
      <c r="M220" s="49"/>
      <c r="N220" s="49"/>
      <c r="O220" s="49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9"/>
      <c r="K221" s="49"/>
      <c r="L221" s="99"/>
      <c r="M221" s="49"/>
      <c r="N221" s="49"/>
      <c r="O221" s="49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9"/>
      <c r="K222" s="49"/>
      <c r="L222" s="99"/>
      <c r="M222" s="49"/>
      <c r="N222" s="49"/>
      <c r="O222" s="49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9"/>
      <c r="K223" s="49"/>
      <c r="L223" s="99"/>
      <c r="M223" s="49"/>
      <c r="N223" s="49"/>
      <c r="O223" s="49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9"/>
      <c r="K224" s="49"/>
      <c r="L224" s="99"/>
      <c r="M224" s="49"/>
      <c r="N224" s="49"/>
      <c r="O224" s="49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J225" s="49"/>
      <c r="K225" s="49"/>
      <c r="L225" s="49"/>
      <c r="M225" s="49"/>
      <c r="N225" s="49"/>
      <c r="O225" s="49"/>
    </row>
    <row r="226" ht="15.75" customHeight="1">
      <c r="J226" s="49"/>
      <c r="K226" s="49"/>
      <c r="L226" s="49"/>
      <c r="M226" s="49"/>
      <c r="N226" s="49"/>
      <c r="O226" s="49"/>
    </row>
    <row r="227" ht="15.75" customHeight="1">
      <c r="J227" s="49"/>
      <c r="K227" s="49"/>
      <c r="L227" s="49"/>
      <c r="M227" s="49"/>
      <c r="N227" s="49"/>
      <c r="O227" s="49"/>
    </row>
    <row r="228" ht="15.75" customHeight="1">
      <c r="J228" s="49"/>
      <c r="K228" s="49"/>
      <c r="L228" s="49"/>
      <c r="M228" s="49"/>
      <c r="N228" s="49"/>
      <c r="O228" s="49"/>
    </row>
    <row r="229" ht="15.75" customHeight="1">
      <c r="J229" s="49"/>
      <c r="K229" s="49"/>
      <c r="L229" s="49"/>
      <c r="M229" s="49"/>
      <c r="N229" s="49"/>
      <c r="O229" s="49"/>
    </row>
    <row r="230" ht="15.75" customHeight="1">
      <c r="J230" s="49"/>
      <c r="K230" s="49"/>
      <c r="L230" s="49"/>
      <c r="M230" s="49"/>
      <c r="N230" s="49"/>
      <c r="O230" s="49"/>
    </row>
    <row r="231" ht="15.75" customHeight="1">
      <c r="J231" s="49"/>
      <c r="K231" s="49"/>
      <c r="L231" s="49"/>
      <c r="M231" s="49"/>
      <c r="N231" s="49"/>
      <c r="O231" s="49"/>
    </row>
    <row r="232" ht="15.75" customHeight="1">
      <c r="J232" s="49"/>
      <c r="K232" s="49"/>
      <c r="L232" s="49"/>
      <c r="M232" s="49"/>
      <c r="N232" s="49"/>
      <c r="O232" s="49"/>
    </row>
    <row r="233" ht="15.75" customHeight="1">
      <c r="J233" s="49"/>
      <c r="K233" s="49"/>
      <c r="L233" s="49"/>
      <c r="M233" s="49"/>
      <c r="N233" s="49"/>
      <c r="O233" s="49"/>
    </row>
    <row r="234" ht="15.75" customHeight="1">
      <c r="J234" s="49"/>
      <c r="K234" s="49"/>
      <c r="L234" s="49"/>
      <c r="M234" s="49"/>
      <c r="N234" s="49"/>
      <c r="O234" s="49"/>
    </row>
    <row r="235" ht="15.75" customHeight="1">
      <c r="J235" s="49"/>
      <c r="K235" s="49"/>
      <c r="L235" s="49"/>
      <c r="M235" s="49"/>
      <c r="N235" s="49"/>
      <c r="O235" s="49"/>
    </row>
    <row r="236" ht="15.75" customHeight="1">
      <c r="J236" s="49"/>
      <c r="K236" s="49"/>
      <c r="L236" s="49"/>
      <c r="M236" s="49"/>
      <c r="N236" s="49"/>
      <c r="O236" s="49"/>
    </row>
    <row r="237" ht="15.75" customHeight="1">
      <c r="J237" s="49"/>
      <c r="K237" s="49"/>
      <c r="L237" s="49"/>
      <c r="M237" s="49"/>
      <c r="N237" s="49"/>
      <c r="O237" s="49"/>
    </row>
    <row r="238" ht="15.75" customHeight="1">
      <c r="J238" s="49"/>
      <c r="K238" s="49"/>
      <c r="L238" s="49"/>
      <c r="M238" s="49"/>
      <c r="N238" s="49"/>
      <c r="O238" s="49"/>
    </row>
    <row r="239" ht="15.75" customHeight="1">
      <c r="J239" s="49"/>
      <c r="K239" s="49"/>
      <c r="L239" s="49"/>
      <c r="M239" s="49"/>
      <c r="N239" s="49"/>
      <c r="O239" s="49"/>
    </row>
    <row r="240" ht="15.75" customHeight="1">
      <c r="J240" s="49"/>
      <c r="K240" s="49"/>
      <c r="L240" s="49"/>
      <c r="M240" s="49"/>
      <c r="N240" s="49"/>
      <c r="O240" s="49"/>
    </row>
    <row r="241" ht="15.75" customHeight="1">
      <c r="J241" s="49"/>
      <c r="K241" s="49"/>
      <c r="L241" s="49"/>
      <c r="M241" s="49"/>
      <c r="N241" s="49"/>
      <c r="O241" s="49"/>
    </row>
    <row r="242" ht="15.75" customHeight="1">
      <c r="J242" s="49"/>
      <c r="K242" s="49"/>
      <c r="L242" s="49"/>
      <c r="M242" s="49"/>
      <c r="N242" s="49"/>
      <c r="O242" s="49"/>
    </row>
    <row r="243" ht="15.75" customHeight="1">
      <c r="J243" s="49"/>
      <c r="K243" s="49"/>
      <c r="L243" s="49"/>
      <c r="M243" s="49"/>
      <c r="N243" s="49"/>
      <c r="O243" s="4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:J19">
    <cfRule type="cellIs" dxfId="0" priority="1" operator="greaterThan">
      <formula>L15</formula>
    </cfRule>
  </conditionalFormatting>
  <conditionalFormatting sqref="J15:J19">
    <cfRule type="cellIs" dxfId="1" priority="2" operator="lessThan">
      <formula>L15</formula>
    </cfRule>
  </conditionalFormatting>
  <conditionalFormatting sqref="J8 L8">
    <cfRule type="cellIs" dxfId="0" priority="3" operator="greaterThanOrEqual">
      <formula>0</formula>
    </cfRule>
  </conditionalFormatting>
  <conditionalFormatting sqref="J8 L8">
    <cfRule type="cellIs" dxfId="1" priority="4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4.13"/>
    <col customWidth="1" min="7" max="7" width="1.88"/>
    <col customWidth="1" min="8" max="8" width="10.13"/>
    <col customWidth="1" min="9" max="9" width="1.88"/>
    <col customWidth="1" min="10" max="10" width="16.88"/>
    <col customWidth="1" min="12" max="12" width="14.5"/>
    <col customWidth="1" min="14" max="14" width="15.25"/>
  </cols>
  <sheetData>
    <row r="1" ht="26.25" customHeight="1">
      <c r="A1" s="40" t="s">
        <v>59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15.75" customHeight="1">
      <c r="A2" s="77" t="s">
        <v>487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J54</f>
        <v>39091</v>
      </c>
      <c r="K7" s="42"/>
      <c r="L7" s="37">
        <v>45350.0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-39091</v>
      </c>
      <c r="K8" s="42"/>
      <c r="L8" s="37">
        <v>-45350.0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49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73"/>
      <c r="M13" s="49"/>
      <c r="N13" s="49"/>
      <c r="O13" s="16"/>
      <c r="P13" s="91"/>
      <c r="Q13" s="121"/>
      <c r="R13" s="121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91"/>
      <c r="P14" s="91"/>
      <c r="Q14" s="121"/>
      <c r="R14" s="121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232</v>
      </c>
      <c r="C15" s="43"/>
      <c r="D15" s="43">
        <v>0.0</v>
      </c>
      <c r="E15" s="43" t="s">
        <v>155</v>
      </c>
      <c r="F15" s="43">
        <v>18.0</v>
      </c>
      <c r="G15" s="43" t="s">
        <v>155</v>
      </c>
      <c r="H15" s="16">
        <v>110.0</v>
      </c>
      <c r="I15" s="84" t="s">
        <v>119</v>
      </c>
      <c r="J15" s="16">
        <f>D15*F15*H15</f>
        <v>0</v>
      </c>
      <c r="L15" s="16">
        <v>0.0</v>
      </c>
      <c r="M15" s="49"/>
      <c r="N15" s="49"/>
      <c r="O15" s="91"/>
      <c r="P15" s="91"/>
      <c r="Q15" s="121"/>
      <c r="R15" s="121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91"/>
      <c r="P16" s="91"/>
      <c r="Q16" s="121"/>
      <c r="R16" s="121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L17" s="73"/>
      <c r="M17" s="49"/>
      <c r="N17" s="49"/>
      <c r="O17" s="91"/>
      <c r="P17" s="91"/>
      <c r="Q17" s="121"/>
      <c r="R17" s="121"/>
      <c r="S17" s="49"/>
      <c r="T17" s="49"/>
      <c r="U17" s="49"/>
      <c r="V17" s="49"/>
      <c r="W17" s="49"/>
      <c r="X17" s="49"/>
      <c r="Y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L18" s="73"/>
      <c r="M18" s="49"/>
      <c r="N18" s="58"/>
      <c r="O18" s="121"/>
      <c r="P18" s="121"/>
      <c r="Q18" s="121"/>
      <c r="R18" s="121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488</v>
      </c>
      <c r="C19" s="43"/>
      <c r="D19" s="43"/>
      <c r="E19" s="43"/>
      <c r="F19" s="43">
        <v>5.0</v>
      </c>
      <c r="G19" s="43" t="s">
        <v>155</v>
      </c>
      <c r="H19" s="16">
        <f t="shared" ref="H19:H20" si="1">700</f>
        <v>700</v>
      </c>
      <c r="I19" s="84" t="s">
        <v>119</v>
      </c>
      <c r="J19" s="16">
        <f t="shared" ref="J19:J20" si="2">F19*H19</f>
        <v>3500</v>
      </c>
      <c r="L19" s="16">
        <v>3500.0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489</v>
      </c>
      <c r="C20" s="43"/>
      <c r="D20" s="43"/>
      <c r="E20" s="43"/>
      <c r="F20" s="43">
        <v>5.0</v>
      </c>
      <c r="G20" s="43" t="s">
        <v>155</v>
      </c>
      <c r="H20" s="16">
        <f t="shared" si="1"/>
        <v>700</v>
      </c>
      <c r="I20" s="84" t="s">
        <v>119</v>
      </c>
      <c r="J20" s="16">
        <f t="shared" si="2"/>
        <v>3500</v>
      </c>
      <c r="L20" s="16">
        <v>3500.0</v>
      </c>
      <c r="M20" s="49"/>
      <c r="N20" s="58"/>
      <c r="O20" s="58"/>
      <c r="P20" s="58"/>
      <c r="Q20" s="58"/>
      <c r="R20" s="58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490</v>
      </c>
      <c r="C21" s="43"/>
      <c r="D21" s="43"/>
      <c r="E21" s="43"/>
      <c r="J21" s="16">
        <f>Parametrar!$I$9</f>
        <v>350</v>
      </c>
      <c r="L21" s="16">
        <v>350.0</v>
      </c>
      <c r="M21" s="49"/>
      <c r="N21" s="49"/>
      <c r="O21" s="91"/>
      <c r="P21" s="91"/>
      <c r="Q21" s="91"/>
      <c r="R21" s="91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 t="s">
        <v>491</v>
      </c>
      <c r="C22" s="43"/>
      <c r="D22" s="43"/>
      <c r="E22" s="43"/>
      <c r="F22" s="43"/>
      <c r="G22" s="43"/>
      <c r="H22" s="16"/>
      <c r="I22" s="43"/>
      <c r="J22" s="16">
        <f>Parametrar!$I$9</f>
        <v>350</v>
      </c>
      <c r="L22" s="16">
        <v>350.0</v>
      </c>
      <c r="M22" s="49"/>
      <c r="N22" s="49"/>
      <c r="O22" s="91"/>
      <c r="P22" s="91"/>
      <c r="Q22" s="91"/>
      <c r="R22" s="91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43" t="s">
        <v>492</v>
      </c>
      <c r="C23" s="43"/>
      <c r="D23" s="43"/>
      <c r="E23" s="43"/>
      <c r="F23" s="43"/>
      <c r="G23" s="43"/>
      <c r="H23" s="16"/>
      <c r="I23" s="43"/>
      <c r="J23" s="16">
        <f>Parametrar!$I$9</f>
        <v>350</v>
      </c>
      <c r="L23" s="16">
        <v>350.0</v>
      </c>
      <c r="M23" s="49"/>
      <c r="N23" s="49"/>
      <c r="O23" s="91"/>
      <c r="P23" s="91"/>
      <c r="Q23" s="91"/>
      <c r="R23" s="91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493</v>
      </c>
      <c r="C24" s="43"/>
      <c r="D24" s="43"/>
      <c r="E24" s="43"/>
      <c r="F24" s="43"/>
      <c r="G24" s="43"/>
      <c r="H24" s="16"/>
      <c r="I24" s="43"/>
      <c r="J24" s="16">
        <f>Parametrar!$I$9</f>
        <v>350</v>
      </c>
      <c r="L24" s="16">
        <v>350.0</v>
      </c>
      <c r="M24" s="49"/>
      <c r="N24" s="49"/>
      <c r="O24" s="91"/>
      <c r="P24" s="91"/>
      <c r="Q24" s="91"/>
      <c r="R24" s="91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494</v>
      </c>
      <c r="C25" s="43"/>
      <c r="D25" s="43"/>
      <c r="E25" s="43"/>
      <c r="F25" s="43"/>
      <c r="G25" s="43"/>
      <c r="H25" s="16"/>
      <c r="I25" s="43"/>
      <c r="J25" s="16">
        <f>Parametrar!$I$9</f>
        <v>350</v>
      </c>
      <c r="L25" s="16">
        <v>350.0</v>
      </c>
      <c r="M25" s="49"/>
      <c r="N25" s="49"/>
      <c r="O25" s="91"/>
      <c r="P25" s="91"/>
      <c r="Q25" s="91"/>
      <c r="R25" s="91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495</v>
      </c>
      <c r="C26" s="43"/>
      <c r="D26" s="43"/>
      <c r="E26" s="43"/>
      <c r="F26" s="43"/>
      <c r="G26" s="43"/>
      <c r="H26" s="16"/>
      <c r="I26" s="43"/>
      <c r="J26" s="16">
        <f>Parametrar!$I$9</f>
        <v>350</v>
      </c>
      <c r="L26" s="16">
        <v>350.0</v>
      </c>
      <c r="M26" s="49"/>
      <c r="N26" s="58"/>
      <c r="O26" s="121"/>
      <c r="P26" s="121"/>
      <c r="Q26" s="121"/>
      <c r="R26" s="121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496</v>
      </c>
      <c r="C27" s="43"/>
      <c r="D27" s="43"/>
      <c r="E27" s="43"/>
      <c r="F27" s="43">
        <v>2.0</v>
      </c>
      <c r="G27" s="43" t="s">
        <v>155</v>
      </c>
      <c r="H27" s="16">
        <f>Parametrar!$I$9</f>
        <v>350</v>
      </c>
      <c r="I27" s="84" t="s">
        <v>119</v>
      </c>
      <c r="J27" s="16">
        <f t="shared" ref="J27:J31" si="3">F27*H27</f>
        <v>700</v>
      </c>
      <c r="L27" s="16">
        <v>700.0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497</v>
      </c>
      <c r="C28" s="43"/>
      <c r="D28" s="43"/>
      <c r="E28" s="43"/>
      <c r="F28" s="43">
        <v>2.0</v>
      </c>
      <c r="G28" s="43" t="s">
        <v>155</v>
      </c>
      <c r="H28" s="16">
        <f>Parametrar!$I$9</f>
        <v>350</v>
      </c>
      <c r="I28" s="84" t="s">
        <v>119</v>
      </c>
      <c r="J28" s="16">
        <f t="shared" si="3"/>
        <v>700</v>
      </c>
      <c r="L28" s="16">
        <v>700.0</v>
      </c>
      <c r="M28" s="49"/>
      <c r="N28" s="58"/>
      <c r="O28" s="58"/>
      <c r="P28" s="58"/>
      <c r="Q28" s="58"/>
      <c r="R28" s="58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498</v>
      </c>
      <c r="C29" s="43"/>
      <c r="D29" s="43"/>
      <c r="E29" s="43"/>
      <c r="F29" s="54">
        <v>4.0</v>
      </c>
      <c r="G29" s="43" t="s">
        <v>155</v>
      </c>
      <c r="H29" s="16">
        <f>Parametrar!$I$9</f>
        <v>350</v>
      </c>
      <c r="I29" s="84" t="s">
        <v>119</v>
      </c>
      <c r="J29" s="16">
        <f t="shared" si="3"/>
        <v>1400</v>
      </c>
      <c r="L29" s="16">
        <v>1050.0</v>
      </c>
      <c r="M29" s="49"/>
      <c r="N29" s="49"/>
      <c r="O29" s="91"/>
      <c r="P29" s="91"/>
      <c r="Q29" s="91"/>
      <c r="R29" s="91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 t="s">
        <v>499</v>
      </c>
      <c r="C30" s="43"/>
      <c r="D30" s="43"/>
      <c r="E30" s="43"/>
      <c r="F30" s="43">
        <v>3.0</v>
      </c>
      <c r="G30" s="43" t="s">
        <v>155</v>
      </c>
      <c r="H30" s="16">
        <f>Parametrar!$I$9</f>
        <v>350</v>
      </c>
      <c r="I30" s="84" t="s">
        <v>119</v>
      </c>
      <c r="J30" s="16">
        <f t="shared" si="3"/>
        <v>1050</v>
      </c>
      <c r="L30" s="16">
        <v>1050.0</v>
      </c>
      <c r="M30" s="49"/>
      <c r="N30" s="49"/>
      <c r="O30" s="91"/>
      <c r="P30" s="91"/>
      <c r="Q30" s="91"/>
      <c r="R30" s="91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43" t="s">
        <v>500</v>
      </c>
      <c r="C31" s="43"/>
      <c r="D31" s="43"/>
      <c r="E31" s="43"/>
      <c r="F31" s="43">
        <v>1.0</v>
      </c>
      <c r="G31" s="43" t="s">
        <v>155</v>
      </c>
      <c r="H31" s="16">
        <f>Parametrar!$I$9</f>
        <v>350</v>
      </c>
      <c r="I31" s="84" t="s">
        <v>119</v>
      </c>
      <c r="J31" s="16">
        <f t="shared" si="3"/>
        <v>350</v>
      </c>
      <c r="L31" s="16">
        <v>350.0</v>
      </c>
      <c r="M31" s="49"/>
      <c r="N31" s="49"/>
      <c r="O31" s="91"/>
      <c r="P31" s="91"/>
      <c r="Q31" s="91"/>
      <c r="R31" s="91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81" t="s">
        <v>147</v>
      </c>
      <c r="C32" s="81"/>
      <c r="D32" s="81"/>
      <c r="E32" s="81"/>
      <c r="F32" s="81"/>
      <c r="G32" s="81"/>
      <c r="H32" s="81"/>
      <c r="I32" s="81"/>
      <c r="J32" s="82">
        <f>SUM(J19:J31)</f>
        <v>13300</v>
      </c>
      <c r="K32" s="31"/>
      <c r="L32" s="82">
        <v>12950.0</v>
      </c>
      <c r="M32" s="49"/>
      <c r="N32" s="49"/>
      <c r="O32" s="91"/>
      <c r="P32" s="91"/>
      <c r="Q32" s="91"/>
      <c r="R32" s="91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16"/>
      <c r="L33" s="16"/>
      <c r="M33" s="49"/>
      <c r="N33" s="58"/>
      <c r="O33" s="121"/>
      <c r="P33" s="121"/>
      <c r="Q33" s="121"/>
      <c r="R33" s="121"/>
      <c r="S33" s="49"/>
      <c r="T33" s="49"/>
      <c r="U33" s="49"/>
      <c r="V33" s="49"/>
      <c r="W33" s="49"/>
      <c r="X33" s="49"/>
      <c r="Y33" s="49"/>
    </row>
    <row r="34" ht="15.75" customHeight="1">
      <c r="A34" s="80">
        <v>6500.0</v>
      </c>
      <c r="B34" s="122" t="s">
        <v>501</v>
      </c>
      <c r="D34" s="52"/>
      <c r="E34" s="52"/>
      <c r="F34" s="52"/>
      <c r="G34" s="52"/>
      <c r="H34" s="52"/>
      <c r="I34" s="52"/>
      <c r="J34" s="73"/>
      <c r="L34" s="7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 t="s">
        <v>502</v>
      </c>
      <c r="C35" s="43"/>
      <c r="D35" s="43"/>
      <c r="E35" s="43"/>
      <c r="F35" s="43">
        <v>4.0</v>
      </c>
      <c r="G35" s="43" t="s">
        <v>155</v>
      </c>
      <c r="H35" s="90">
        <v>600.0</v>
      </c>
      <c r="I35" s="84" t="s">
        <v>119</v>
      </c>
      <c r="J35" s="16">
        <f>F35*H35</f>
        <v>2400</v>
      </c>
      <c r="L35" s="16">
        <v>2400.0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81" t="s">
        <v>147</v>
      </c>
      <c r="C36" s="81"/>
      <c r="D36" s="81"/>
      <c r="E36" s="81"/>
      <c r="F36" s="81"/>
      <c r="G36" s="81"/>
      <c r="H36" s="81"/>
      <c r="I36" s="81"/>
      <c r="J36" s="82">
        <f>SUM(J35)</f>
        <v>2400</v>
      </c>
      <c r="K36" s="31"/>
      <c r="L36" s="82">
        <v>2400.0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16"/>
      <c r="K37" s="43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80">
        <v>7600.0</v>
      </c>
      <c r="B38" s="52" t="s">
        <v>157</v>
      </c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54" t="s">
        <v>503</v>
      </c>
      <c r="C39" s="43"/>
      <c r="D39" s="43"/>
      <c r="E39" s="43"/>
      <c r="F39" s="54">
        <v>2.0</v>
      </c>
      <c r="G39" s="26" t="s">
        <v>118</v>
      </c>
      <c r="H39" s="16">
        <f>Parametrar!$I$8</f>
        <v>207</v>
      </c>
      <c r="I39" s="62" t="s">
        <v>119</v>
      </c>
      <c r="J39" s="16">
        <f t="shared" ref="J39:J47" si="4">F39*H39</f>
        <v>414</v>
      </c>
      <c r="K39" s="43"/>
      <c r="L39" s="16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54" t="s">
        <v>504</v>
      </c>
      <c r="C40" s="43"/>
      <c r="D40" s="43"/>
      <c r="E40" s="43"/>
      <c r="F40" s="43">
        <v>5.0</v>
      </c>
      <c r="G40" s="2" t="s">
        <v>155</v>
      </c>
      <c r="H40" s="16">
        <f>Parametrar!$I$8</f>
        <v>207</v>
      </c>
      <c r="I40" s="84" t="s">
        <v>119</v>
      </c>
      <c r="J40" s="16">
        <f t="shared" si="4"/>
        <v>1035</v>
      </c>
      <c r="K40" s="43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54" t="s">
        <v>505</v>
      </c>
      <c r="C41" s="43"/>
      <c r="D41" s="43"/>
      <c r="E41" s="43"/>
      <c r="F41" s="54">
        <v>3.0</v>
      </c>
      <c r="G41" s="2" t="s">
        <v>155</v>
      </c>
      <c r="H41" s="16">
        <f>Parametrar!$I$8</f>
        <v>207</v>
      </c>
      <c r="I41" s="84" t="s">
        <v>119</v>
      </c>
      <c r="J41" s="16">
        <f t="shared" si="4"/>
        <v>621</v>
      </c>
      <c r="K41" s="43"/>
      <c r="L41" s="16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54" t="s">
        <v>506</v>
      </c>
      <c r="C42" s="43"/>
      <c r="D42" s="43"/>
      <c r="E42" s="43"/>
      <c r="F42" s="54">
        <v>5.0</v>
      </c>
      <c r="G42" s="2" t="s">
        <v>155</v>
      </c>
      <c r="H42" s="16">
        <f>Parametrar!$I$8</f>
        <v>207</v>
      </c>
      <c r="I42" s="84" t="s">
        <v>119</v>
      </c>
      <c r="J42" s="16">
        <f t="shared" si="4"/>
        <v>1035</v>
      </c>
      <c r="K42" s="43"/>
      <c r="L42" s="16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54" t="s">
        <v>507</v>
      </c>
      <c r="C43" s="43"/>
      <c r="D43" s="43"/>
      <c r="E43" s="43"/>
      <c r="F43" s="54">
        <v>3.0</v>
      </c>
      <c r="G43" s="26" t="s">
        <v>118</v>
      </c>
      <c r="H43" s="16">
        <f>Parametrar!$I$8</f>
        <v>207</v>
      </c>
      <c r="I43" s="43"/>
      <c r="J43" s="16">
        <f t="shared" si="4"/>
        <v>621</v>
      </c>
      <c r="K43" s="43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54" t="s">
        <v>508</v>
      </c>
      <c r="C44" s="43"/>
      <c r="D44" s="43"/>
      <c r="E44" s="43"/>
      <c r="F44" s="54">
        <v>3.0</v>
      </c>
      <c r="G44" s="2" t="s">
        <v>155</v>
      </c>
      <c r="H44" s="16">
        <f>Parametrar!$I$8</f>
        <v>207</v>
      </c>
      <c r="I44" s="84" t="s">
        <v>119</v>
      </c>
      <c r="J44" s="16">
        <f t="shared" si="4"/>
        <v>621</v>
      </c>
      <c r="K44" s="43"/>
      <c r="L44" s="16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54" t="s">
        <v>509</v>
      </c>
      <c r="C45" s="43"/>
      <c r="D45" s="43"/>
      <c r="E45" s="43"/>
      <c r="F45" s="54">
        <v>4.0</v>
      </c>
      <c r="G45" s="26" t="s">
        <v>118</v>
      </c>
      <c r="H45" s="16">
        <f>Parametrar!$I$8</f>
        <v>207</v>
      </c>
      <c r="I45" s="43"/>
      <c r="J45" s="16">
        <f t="shared" si="4"/>
        <v>828</v>
      </c>
      <c r="K45" s="43"/>
      <c r="L45" s="16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54" t="s">
        <v>510</v>
      </c>
      <c r="C46" s="43"/>
      <c r="D46" s="43"/>
      <c r="E46" s="43"/>
      <c r="F46" s="54">
        <v>2.0</v>
      </c>
      <c r="G46" s="26" t="s">
        <v>118</v>
      </c>
      <c r="H46" s="16">
        <f>Parametrar!$I$8</f>
        <v>207</v>
      </c>
      <c r="I46" s="43"/>
      <c r="J46" s="16">
        <f t="shared" si="4"/>
        <v>414</v>
      </c>
      <c r="K46" s="43"/>
      <c r="L46" s="16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54" t="s">
        <v>511</v>
      </c>
      <c r="C47" s="43"/>
      <c r="D47" s="43"/>
      <c r="E47" s="43"/>
      <c r="F47" s="54">
        <v>6.0</v>
      </c>
      <c r="G47" s="26" t="s">
        <v>118</v>
      </c>
      <c r="H47" s="16">
        <f>Parametrar!$I$8</f>
        <v>207</v>
      </c>
      <c r="I47" s="43"/>
      <c r="J47" s="16">
        <f t="shared" si="4"/>
        <v>1242</v>
      </c>
      <c r="K47" s="43"/>
      <c r="L47" s="16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81" t="s">
        <v>147</v>
      </c>
      <c r="C48" s="31"/>
      <c r="D48" s="31"/>
      <c r="E48" s="31"/>
      <c r="F48" s="31"/>
      <c r="G48" s="31"/>
      <c r="H48" s="31"/>
      <c r="I48" s="31"/>
      <c r="J48" s="82">
        <f>SUM(J39:J47)</f>
        <v>6831</v>
      </c>
      <c r="K48" s="31"/>
      <c r="L48" s="8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16"/>
      <c r="K49" s="43"/>
      <c r="L49" s="16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80">
        <v>7604.0</v>
      </c>
      <c r="B50" s="52" t="s">
        <v>400</v>
      </c>
      <c r="C50" s="43"/>
      <c r="D50" s="43"/>
      <c r="E50" s="43"/>
      <c r="F50" s="43"/>
      <c r="G50" s="43"/>
      <c r="H50" s="43"/>
      <c r="I50" s="43"/>
      <c r="J50" s="16"/>
      <c r="K50" s="43"/>
      <c r="L50" s="16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3"/>
      <c r="B51" s="43" t="s">
        <v>512</v>
      </c>
      <c r="C51" s="43"/>
      <c r="D51" s="43"/>
      <c r="E51" s="43"/>
      <c r="F51" s="54">
        <v>80.0</v>
      </c>
      <c r="G51" s="43" t="s">
        <v>155</v>
      </c>
      <c r="H51" s="16">
        <f>Parametrar!$I$8</f>
        <v>207</v>
      </c>
      <c r="I51" s="84" t="s">
        <v>119</v>
      </c>
      <c r="J51" s="59">
        <f>F51*H51</f>
        <v>16560</v>
      </c>
      <c r="L51" s="16">
        <v>30000.0</v>
      </c>
      <c r="M51" s="49"/>
      <c r="N51" s="49"/>
      <c r="O51" s="58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3"/>
      <c r="B52" s="81" t="s">
        <v>147</v>
      </c>
      <c r="C52" s="81"/>
      <c r="D52" s="31"/>
      <c r="E52" s="31"/>
      <c r="F52" s="31"/>
      <c r="G52" s="31"/>
      <c r="H52" s="31"/>
      <c r="I52" s="31"/>
      <c r="J52" s="82">
        <f>SUM(J51)</f>
        <v>16560</v>
      </c>
      <c r="K52" s="31"/>
      <c r="L52" s="82">
        <v>30000.0</v>
      </c>
      <c r="M52" s="49"/>
      <c r="N52" s="58"/>
      <c r="O52" s="91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16"/>
      <c r="K53" s="43"/>
      <c r="L53" s="16"/>
      <c r="M53" s="49"/>
      <c r="N53" s="58"/>
      <c r="O53" s="91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7"/>
      <c r="B54" s="47" t="s">
        <v>4</v>
      </c>
      <c r="C54" s="47"/>
      <c r="D54" s="47"/>
      <c r="E54" s="47"/>
      <c r="F54" s="47"/>
      <c r="G54" s="47"/>
      <c r="H54" s="47"/>
      <c r="I54" s="47"/>
      <c r="J54" s="57">
        <f>SUM(J13:J53)/2</f>
        <v>39091</v>
      </c>
      <c r="K54" s="47"/>
      <c r="L54" s="57">
        <v>45350.0</v>
      </c>
      <c r="M54" s="58"/>
      <c r="N54" s="58"/>
      <c r="O54" s="91"/>
      <c r="P54" s="58"/>
      <c r="Q54" s="58"/>
      <c r="R54" s="58"/>
      <c r="S54" s="58"/>
      <c r="T54" s="58"/>
      <c r="U54" s="58"/>
      <c r="V54" s="58"/>
      <c r="W54" s="58"/>
      <c r="X54" s="58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16"/>
      <c r="K55" s="43"/>
      <c r="L55" s="16"/>
      <c r="M55" s="49"/>
      <c r="N55" s="58"/>
      <c r="O55" s="91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7"/>
      <c r="B56" s="47" t="s">
        <v>5</v>
      </c>
      <c r="C56" s="47"/>
      <c r="D56" s="47"/>
      <c r="E56" s="47"/>
      <c r="F56" s="47"/>
      <c r="G56" s="47"/>
      <c r="H56" s="47"/>
      <c r="I56" s="47"/>
      <c r="J56" s="57">
        <f>J12-J54</f>
        <v>-39091</v>
      </c>
      <c r="K56" s="47"/>
      <c r="L56" s="57">
        <v>-45350.0</v>
      </c>
      <c r="M56" s="58"/>
      <c r="N56" s="58"/>
      <c r="O56" s="121"/>
      <c r="P56" s="58"/>
      <c r="Q56" s="58"/>
      <c r="R56" s="58"/>
      <c r="S56" s="58"/>
      <c r="T56" s="58"/>
      <c r="U56" s="58"/>
      <c r="V56" s="58"/>
      <c r="W56" s="58"/>
      <c r="X56" s="58"/>
      <c r="Y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4">
    <mergeCell ref="A2:C2"/>
    <mergeCell ref="A6:B6"/>
    <mergeCell ref="A7:B7"/>
    <mergeCell ref="A8:B8"/>
  </mergeCells>
  <conditionalFormatting sqref="J15 J19:J31 H27 H29:H31 J35 J39:J47 J51">
    <cfRule type="cellIs" dxfId="0" priority="1" operator="greaterThan">
      <formula>L15</formula>
    </cfRule>
  </conditionalFormatting>
  <conditionalFormatting sqref="J15 J19:J31 H27 H29:H31 J35 J39:J47 J51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conditionalFormatting sqref="T9">
    <cfRule type="notContainsBlanks" dxfId="0" priority="7">
      <formula>LEN(TRIM(T9))&gt;0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7.38"/>
    <col customWidth="1" min="7" max="7" width="1.88"/>
    <col customWidth="1" min="8" max="8" width="9.25"/>
    <col customWidth="1" min="9" max="9" width="1.88"/>
    <col customWidth="1" min="10" max="10" width="16.88"/>
    <col customWidth="1" min="11" max="11" width="9.25"/>
    <col customWidth="1" min="12" max="12" width="18.38"/>
    <col customWidth="1" min="14" max="14" width="19.5"/>
  </cols>
  <sheetData>
    <row r="1">
      <c r="A1" s="40" t="s">
        <v>60</v>
      </c>
      <c r="B1" s="40" t="s">
        <v>513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514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J33</f>
        <v>560705.0151</v>
      </c>
      <c r="K6" s="42"/>
      <c r="L6" s="37">
        <v>390500.0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J61</f>
        <v>522280.8611</v>
      </c>
      <c r="K7" s="42"/>
      <c r="L7" s="37">
        <v>324900.0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38424.15397</v>
      </c>
      <c r="K8" s="42"/>
      <c r="L8" s="37">
        <v>65600.0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52"/>
      <c r="C11" s="52"/>
      <c r="D11" s="52"/>
      <c r="E11" s="52"/>
      <c r="F11" s="52"/>
      <c r="G11" s="52"/>
      <c r="H11" s="52"/>
      <c r="I11" s="52"/>
      <c r="J11" s="73"/>
      <c r="K11" s="52"/>
      <c r="L11" s="7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80">
        <v>3000.0</v>
      </c>
      <c r="B12" s="52" t="s">
        <v>515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174</v>
      </c>
      <c r="C13" s="43"/>
      <c r="D13" s="43"/>
      <c r="E13" s="43"/>
      <c r="F13" s="43"/>
      <c r="G13" s="43"/>
      <c r="H13" s="43"/>
      <c r="I13" s="43"/>
      <c r="J13" s="59">
        <v>0.0</v>
      </c>
      <c r="K13" s="43"/>
      <c r="L13" s="16">
        <v>5000.0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 t="s">
        <v>516</v>
      </c>
      <c r="C14" s="43"/>
      <c r="D14" s="43"/>
      <c r="E14" s="43"/>
      <c r="F14" s="43"/>
      <c r="G14" s="43"/>
      <c r="H14" s="43"/>
      <c r="I14" s="43"/>
      <c r="J14" s="16">
        <v>6000.0</v>
      </c>
      <c r="K14" s="43"/>
      <c r="L14" s="16">
        <v>6000.0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81" t="s">
        <v>147</v>
      </c>
      <c r="C15" s="81"/>
      <c r="D15" s="81"/>
      <c r="E15" s="81"/>
      <c r="F15" s="81"/>
      <c r="G15" s="81"/>
      <c r="H15" s="81"/>
      <c r="I15" s="81"/>
      <c r="J15" s="82">
        <f>SUM(J13:J14)</f>
        <v>6000</v>
      </c>
      <c r="K15" s="81"/>
      <c r="L15" s="82">
        <v>11000.0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80">
        <v>3010.0</v>
      </c>
      <c r="B17" s="52" t="s">
        <v>517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43" t="s">
        <v>518</v>
      </c>
      <c r="C18" s="43"/>
      <c r="D18" s="43"/>
      <c r="E18" s="43"/>
      <c r="F18" s="43"/>
      <c r="G18" s="43"/>
      <c r="H18" s="43"/>
      <c r="I18" s="43"/>
      <c r="J18" s="16">
        <v>1500.0</v>
      </c>
      <c r="K18" s="43"/>
      <c r="L18" s="16">
        <v>1500.0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81" t="s">
        <v>147</v>
      </c>
      <c r="C19" s="81"/>
      <c r="D19" s="81"/>
      <c r="E19" s="81"/>
      <c r="F19" s="81"/>
      <c r="G19" s="81"/>
      <c r="H19" s="81"/>
      <c r="I19" s="81"/>
      <c r="J19" s="82">
        <f>SUM(J18)</f>
        <v>1500</v>
      </c>
      <c r="K19" s="81"/>
      <c r="L19" s="82">
        <v>1500.0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52"/>
      <c r="C20" s="52"/>
      <c r="D20" s="52"/>
      <c r="E20" s="52"/>
      <c r="F20" s="52"/>
      <c r="G20" s="52"/>
      <c r="H20" s="52"/>
      <c r="I20" s="52"/>
      <c r="J20" s="73"/>
      <c r="K20" s="52"/>
      <c r="L20" s="73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80" t="s">
        <v>519</v>
      </c>
      <c r="B21" s="52" t="s">
        <v>520</v>
      </c>
      <c r="C21" s="52"/>
      <c r="D21" s="52"/>
      <c r="E21" s="52"/>
      <c r="F21" s="52"/>
      <c r="G21" s="52"/>
      <c r="H21" s="52"/>
      <c r="I21" s="52"/>
      <c r="J21" s="73"/>
      <c r="K21" s="52"/>
      <c r="L21" s="7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521</v>
      </c>
      <c r="D22" s="16"/>
      <c r="F22" s="123">
        <f>Parametrar!$I$33</f>
        <v>1.44</v>
      </c>
      <c r="G22" s="124" t="s">
        <v>118</v>
      </c>
      <c r="H22" s="16">
        <f t="shared" ref="H22:H25" si="1">J40</f>
        <v>48431.8866</v>
      </c>
      <c r="I22" s="62" t="s">
        <v>119</v>
      </c>
      <c r="J22" s="59">
        <f t="shared" ref="J22:J25" si="2">F22*H22</f>
        <v>69741.9167</v>
      </c>
      <c r="K22" s="16"/>
      <c r="L22" s="16">
        <v>38250.0</v>
      </c>
      <c r="M22" s="49"/>
      <c r="N22" s="59"/>
      <c r="O22" s="59"/>
      <c r="P22" s="59"/>
      <c r="Q22" s="59"/>
      <c r="R22" s="5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522</v>
      </c>
      <c r="D23" s="16"/>
      <c r="F23" s="123">
        <f>Parametrar!$I$34</f>
        <v>1.35</v>
      </c>
      <c r="G23" s="124" t="s">
        <v>118</v>
      </c>
      <c r="H23" s="16">
        <f t="shared" si="1"/>
        <v>16267.72575</v>
      </c>
      <c r="I23" s="62" t="s">
        <v>119</v>
      </c>
      <c r="J23" s="59">
        <f t="shared" si="2"/>
        <v>21961.42977</v>
      </c>
      <c r="K23" s="16"/>
      <c r="L23" s="16">
        <v>6750.0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523</v>
      </c>
      <c r="D24" s="16"/>
      <c r="F24" s="123">
        <f>Parametrar!$I$35</f>
        <v>1.44</v>
      </c>
      <c r="G24" s="124" t="s">
        <v>118</v>
      </c>
      <c r="H24" s="16">
        <f t="shared" si="1"/>
        <v>48228.33575</v>
      </c>
      <c r="I24" s="62" t="s">
        <v>119</v>
      </c>
      <c r="J24" s="59">
        <f t="shared" si="2"/>
        <v>69448.80348</v>
      </c>
      <c r="K24" s="16"/>
      <c r="L24" s="16">
        <v>75600.0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131</v>
      </c>
      <c r="D25" s="16"/>
      <c r="F25" s="123">
        <f>Parametrar!$I$36</f>
        <v>2.7</v>
      </c>
      <c r="G25" s="124" t="s">
        <v>118</v>
      </c>
      <c r="H25" s="16">
        <f t="shared" si="1"/>
        <v>43352.91301</v>
      </c>
      <c r="I25" s="62" t="s">
        <v>119</v>
      </c>
      <c r="J25" s="59">
        <f t="shared" si="2"/>
        <v>117052.8651</v>
      </c>
      <c r="K25" s="16"/>
      <c r="L25" s="16">
        <v>23400.0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SUM(J22:J25)</f>
        <v>278205.0151</v>
      </c>
      <c r="K26" s="81"/>
      <c r="L26" s="82">
        <v>144000.0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80">
        <v>3015.0</v>
      </c>
      <c r="B28" s="52" t="s">
        <v>175</v>
      </c>
      <c r="C28" s="52"/>
      <c r="D28" s="52"/>
      <c r="E28" s="52"/>
      <c r="F28" s="52"/>
      <c r="G28" s="52"/>
      <c r="H28" s="52"/>
      <c r="I28" s="52"/>
      <c r="J28" s="73"/>
      <c r="K28" s="52"/>
      <c r="L28" s="7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524</v>
      </c>
      <c r="D29" s="16"/>
      <c r="E29" s="43"/>
      <c r="F29" s="43"/>
      <c r="G29" s="43"/>
      <c r="H29" s="16"/>
      <c r="I29" s="43"/>
      <c r="J29" s="59">
        <v>250000.0</v>
      </c>
      <c r="K29" s="16"/>
      <c r="L29" s="16">
        <v>234000.0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54" t="s">
        <v>525</v>
      </c>
      <c r="D30" s="16"/>
      <c r="E30" s="43"/>
      <c r="F30" s="43"/>
      <c r="G30" s="43"/>
      <c r="H30" s="16"/>
      <c r="I30" s="43"/>
      <c r="J30" s="59">
        <v>25000.0</v>
      </c>
      <c r="K30" s="16"/>
      <c r="L30" s="59">
        <v>0.0</v>
      </c>
      <c r="M30" s="49"/>
      <c r="U30" s="49"/>
      <c r="V30" s="49"/>
      <c r="W30" s="49"/>
      <c r="X30" s="49"/>
      <c r="Y30" s="49"/>
      <c r="Z30" s="49"/>
    </row>
    <row r="31" ht="15.75" customHeight="1">
      <c r="A31" s="43"/>
      <c r="B31" s="81" t="s">
        <v>147</v>
      </c>
      <c r="C31" s="81"/>
      <c r="D31" s="81"/>
      <c r="E31" s="81"/>
      <c r="F31" s="81"/>
      <c r="G31" s="81"/>
      <c r="H31" s="81"/>
      <c r="I31" s="81"/>
      <c r="J31" s="82">
        <f>SUM(J29:J30)</f>
        <v>275000</v>
      </c>
      <c r="K31" s="81"/>
      <c r="L31" s="82">
        <v>234000.0</v>
      </c>
      <c r="M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U32" s="49"/>
      <c r="V32" s="49"/>
      <c r="W32" s="49"/>
      <c r="X32" s="49"/>
      <c r="Y32" s="49"/>
      <c r="Z32" s="49"/>
    </row>
    <row r="33" ht="15.75" customHeight="1">
      <c r="A33" s="47"/>
      <c r="B33" s="47" t="s">
        <v>3</v>
      </c>
      <c r="C33" s="47"/>
      <c r="D33" s="47"/>
      <c r="E33" s="47"/>
      <c r="F33" s="47"/>
      <c r="G33" s="47"/>
      <c r="H33" s="47"/>
      <c r="I33" s="47"/>
      <c r="J33" s="57">
        <f>SUM(J11:J32)/2</f>
        <v>560705.0151</v>
      </c>
      <c r="K33" s="47"/>
      <c r="L33" s="57">
        <v>390500.0</v>
      </c>
      <c r="M33" s="58"/>
      <c r="U33" s="58"/>
      <c r="V33" s="58"/>
      <c r="W33" s="58"/>
      <c r="X33" s="58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9"/>
      <c r="U34" s="49"/>
      <c r="V34" s="49"/>
      <c r="W34" s="49"/>
      <c r="X34" s="49"/>
      <c r="Y34" s="49"/>
      <c r="Z34" s="49"/>
    </row>
    <row r="35" ht="15.75" customHeight="1">
      <c r="A35" s="80">
        <v>4000.0</v>
      </c>
      <c r="B35" s="52" t="s">
        <v>176</v>
      </c>
      <c r="C35" s="52"/>
      <c r="D35" s="52"/>
      <c r="E35" s="52"/>
      <c r="F35" s="52"/>
      <c r="G35" s="52"/>
      <c r="H35" s="52"/>
      <c r="I35" s="52"/>
      <c r="J35" s="73"/>
      <c r="K35" s="52"/>
      <c r="L35" s="73"/>
      <c r="M35" s="49"/>
      <c r="U35" s="49"/>
      <c r="V35" s="49"/>
      <c r="W35" s="49"/>
      <c r="X35" s="49"/>
      <c r="Y35" s="49"/>
      <c r="Z35" s="49"/>
    </row>
    <row r="36" ht="15.75" customHeight="1">
      <c r="A36" s="125"/>
      <c r="B36" s="43" t="s">
        <v>174</v>
      </c>
      <c r="H36" s="16"/>
      <c r="I36" s="43"/>
      <c r="J36" s="59">
        <v>20000.0</v>
      </c>
      <c r="K36" s="16"/>
      <c r="L36" s="16">
        <v>5000.0</v>
      </c>
      <c r="M36" s="49"/>
      <c r="U36" s="49"/>
      <c r="V36" s="49"/>
      <c r="W36" s="49"/>
      <c r="X36" s="49"/>
      <c r="Y36" s="49"/>
      <c r="Z36" s="49"/>
    </row>
    <row r="37" ht="15.75" customHeight="1">
      <c r="A37" s="43"/>
      <c r="B37" s="81" t="s">
        <v>147</v>
      </c>
      <c r="C37" s="81"/>
      <c r="D37" s="81"/>
      <c r="E37" s="81"/>
      <c r="F37" s="81"/>
      <c r="G37" s="81"/>
      <c r="H37" s="81"/>
      <c r="I37" s="81"/>
      <c r="J37" s="82">
        <f>SUM(J36)</f>
        <v>20000</v>
      </c>
      <c r="K37" s="81"/>
      <c r="L37" s="82">
        <v>5000.0</v>
      </c>
      <c r="M37" s="49"/>
      <c r="U37" s="49"/>
      <c r="V37" s="49"/>
      <c r="W37" s="49"/>
      <c r="X37" s="49"/>
      <c r="Y37" s="49"/>
      <c r="Z37" s="49"/>
    </row>
    <row r="38" ht="15.75" customHeight="1">
      <c r="A38" s="43"/>
      <c r="B38" s="52"/>
      <c r="C38" s="43"/>
      <c r="D38" s="43"/>
      <c r="E38" s="43"/>
      <c r="F38" s="43"/>
      <c r="G38" s="43"/>
      <c r="H38" s="43"/>
      <c r="I38" s="43"/>
      <c r="J38" s="73"/>
      <c r="K38" s="43"/>
      <c r="L38" s="73"/>
      <c r="M38" s="49"/>
      <c r="U38" s="49"/>
      <c r="V38" s="49"/>
      <c r="W38" s="49"/>
      <c r="X38" s="49"/>
      <c r="Y38" s="49"/>
      <c r="Z38" s="49"/>
    </row>
    <row r="39" ht="15.75" customHeight="1">
      <c r="A39" s="80" t="s">
        <v>526</v>
      </c>
      <c r="B39" s="52" t="s">
        <v>527</v>
      </c>
      <c r="D39" s="43"/>
      <c r="F39" s="43"/>
      <c r="I39" s="43"/>
      <c r="J39" s="16"/>
      <c r="L39" s="16"/>
      <c r="M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521</v>
      </c>
      <c r="D40" s="16"/>
      <c r="E40" s="43"/>
      <c r="F40" s="123">
        <f>Parametrar!$I$40</f>
        <v>0.442143666</v>
      </c>
      <c r="G40" s="54" t="s">
        <v>118</v>
      </c>
      <c r="H40" s="59">
        <f>Parametrar!$I$23</f>
        <v>109538.8</v>
      </c>
      <c r="I40" s="62" t="s">
        <v>119</v>
      </c>
      <c r="J40" s="59">
        <f t="shared" ref="J40:J43" si="3">F40*H40</f>
        <v>48431.8866</v>
      </c>
      <c r="K40" s="16"/>
      <c r="L40" s="59">
        <v>0.0</v>
      </c>
      <c r="M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522</v>
      </c>
      <c r="D41" s="59"/>
      <c r="E41" s="43"/>
      <c r="F41" s="123">
        <f>Parametrar!$I$41</f>
        <v>0.3555835239</v>
      </c>
      <c r="G41" s="54" t="s">
        <v>118</v>
      </c>
      <c r="H41" s="59">
        <f>Parametrar!$I$24</f>
        <v>45749.38</v>
      </c>
      <c r="I41" s="62" t="s">
        <v>119</v>
      </c>
      <c r="J41" s="59">
        <f t="shared" si="3"/>
        <v>16267.72575</v>
      </c>
      <c r="L41" s="59">
        <v>0.0</v>
      </c>
      <c r="M41" s="49"/>
      <c r="U41" s="49"/>
      <c r="V41" s="49"/>
      <c r="W41" s="49"/>
      <c r="X41" s="49"/>
      <c r="Y41" s="49"/>
      <c r="Z41" s="49"/>
    </row>
    <row r="42" ht="15.75" customHeight="1">
      <c r="A42" s="43"/>
      <c r="B42" s="43" t="s">
        <v>523</v>
      </c>
      <c r="C42" s="43"/>
      <c r="D42" s="16"/>
      <c r="E42" s="43"/>
      <c r="F42" s="123">
        <f>Parametrar!$I$42</f>
        <v>0.5648487048</v>
      </c>
      <c r="G42" s="54" t="s">
        <v>118</v>
      </c>
      <c r="H42" s="59">
        <f>Parametrar!$I$25</f>
        <v>85382.75</v>
      </c>
      <c r="I42" s="62" t="s">
        <v>119</v>
      </c>
      <c r="J42" s="59">
        <f t="shared" si="3"/>
        <v>48228.33575</v>
      </c>
      <c r="K42" s="43"/>
      <c r="L42" s="59">
        <v>0.0</v>
      </c>
      <c r="M42" s="49"/>
      <c r="U42" s="49"/>
      <c r="V42" s="49"/>
      <c r="W42" s="49"/>
      <c r="X42" s="49"/>
      <c r="Y42" s="49"/>
      <c r="Z42" s="49"/>
    </row>
    <row r="43" ht="15.75" customHeight="1">
      <c r="A43" s="43"/>
      <c r="B43" s="43" t="s">
        <v>131</v>
      </c>
      <c r="C43" s="43"/>
      <c r="D43" s="16"/>
      <c r="E43" s="43"/>
      <c r="F43" s="123">
        <f>Parametrar!$I$43</f>
        <v>0.4589236715</v>
      </c>
      <c r="G43" s="54" t="s">
        <v>118</v>
      </c>
      <c r="H43" s="59">
        <f>Parametrar!$I$26</f>
        <v>94466.5</v>
      </c>
      <c r="I43" s="62" t="s">
        <v>119</v>
      </c>
      <c r="J43" s="59">
        <f t="shared" si="3"/>
        <v>43352.91301</v>
      </c>
      <c r="K43" s="43"/>
      <c r="L43" s="59">
        <v>0.0</v>
      </c>
      <c r="M43" s="49"/>
      <c r="U43" s="49"/>
      <c r="V43" s="49"/>
      <c r="W43" s="49"/>
      <c r="X43" s="49"/>
      <c r="Y43" s="49"/>
      <c r="Z43" s="49"/>
    </row>
    <row r="44" ht="15.75" customHeight="1">
      <c r="A44" s="43"/>
      <c r="B44" s="81" t="s">
        <v>147</v>
      </c>
      <c r="C44" s="81"/>
      <c r="D44" s="81"/>
      <c r="E44" s="81"/>
      <c r="F44" s="81"/>
      <c r="G44" s="81"/>
      <c r="H44" s="81"/>
      <c r="I44" s="81"/>
      <c r="J44" s="82">
        <f>SUM(J40:J43)</f>
        <v>156280.8611</v>
      </c>
      <c r="K44" s="81"/>
      <c r="L44" s="126">
        <v>0.0</v>
      </c>
      <c r="M44" s="49"/>
      <c r="U44" s="49"/>
      <c r="V44" s="49"/>
      <c r="W44" s="49"/>
      <c r="X44" s="49"/>
      <c r="Y44" s="49"/>
      <c r="Z44" s="49"/>
    </row>
    <row r="45" ht="15.75" customHeight="1">
      <c r="A45" s="43"/>
      <c r="B45" s="52"/>
      <c r="C45" s="43"/>
      <c r="D45" s="43"/>
      <c r="E45" s="43"/>
      <c r="F45" s="43"/>
      <c r="G45" s="43"/>
      <c r="H45" s="43"/>
      <c r="I45" s="43"/>
      <c r="J45" s="73"/>
      <c r="K45" s="43"/>
      <c r="L45" s="73"/>
      <c r="M45" s="49"/>
      <c r="U45" s="49"/>
      <c r="V45" s="49"/>
      <c r="W45" s="49"/>
      <c r="X45" s="49"/>
      <c r="Y45" s="49"/>
      <c r="Z45" s="49"/>
    </row>
    <row r="46" ht="15.75" customHeight="1">
      <c r="A46" s="80">
        <v>4101.0</v>
      </c>
      <c r="B46" s="52" t="s">
        <v>255</v>
      </c>
      <c r="C46" s="52"/>
      <c r="D46" s="52"/>
      <c r="E46" s="52"/>
      <c r="F46" s="52"/>
      <c r="G46" s="52"/>
      <c r="H46" s="52"/>
      <c r="I46" s="52"/>
      <c r="J46" s="73"/>
      <c r="K46" s="52"/>
      <c r="L46" s="73"/>
      <c r="M46" s="49"/>
      <c r="U46" s="49"/>
      <c r="V46" s="49"/>
      <c r="W46" s="49"/>
      <c r="X46" s="49"/>
      <c r="Y46" s="49"/>
      <c r="Z46" s="49"/>
    </row>
    <row r="47" ht="15.75" customHeight="1">
      <c r="A47" s="43"/>
      <c r="B47" s="43" t="s">
        <v>101</v>
      </c>
      <c r="H47" s="16"/>
      <c r="I47" s="43"/>
      <c r="J47" s="59">
        <v>170000.0</v>
      </c>
      <c r="K47" s="16"/>
      <c r="L47" s="16">
        <v>150000.0</v>
      </c>
      <c r="M47" s="49"/>
      <c r="U47" s="49"/>
      <c r="V47" s="49"/>
      <c r="W47" s="49"/>
      <c r="X47" s="49"/>
      <c r="Y47" s="49"/>
      <c r="Z47" s="49"/>
    </row>
    <row r="48" ht="15.75" customHeight="1">
      <c r="A48" s="43"/>
      <c r="B48" s="43" t="s">
        <v>528</v>
      </c>
      <c r="D48" s="43"/>
      <c r="F48" s="43"/>
      <c r="I48" s="43"/>
      <c r="J48" s="59">
        <v>10000.0</v>
      </c>
      <c r="L48" s="16">
        <v>15000.0</v>
      </c>
      <c r="M48" s="49"/>
      <c r="U48" s="49"/>
      <c r="V48" s="49"/>
      <c r="W48" s="49"/>
      <c r="X48" s="49"/>
      <c r="Y48" s="49"/>
      <c r="Z48" s="49"/>
    </row>
    <row r="49" ht="15.75" customHeight="1">
      <c r="A49" s="43"/>
      <c r="B49" s="81" t="s">
        <v>147</v>
      </c>
      <c r="C49" s="81"/>
      <c r="D49" s="81"/>
      <c r="E49" s="81"/>
      <c r="F49" s="81"/>
      <c r="G49" s="81"/>
      <c r="H49" s="81"/>
      <c r="I49" s="81"/>
      <c r="J49" s="82">
        <f>SUM(J47:J48)</f>
        <v>180000</v>
      </c>
      <c r="K49" s="81"/>
      <c r="L49" s="82">
        <v>165000.0</v>
      </c>
      <c r="M49" s="49"/>
      <c r="U49" s="49"/>
      <c r="V49" s="49"/>
      <c r="W49" s="49"/>
      <c r="X49" s="49"/>
      <c r="Y49" s="49"/>
      <c r="Z49" s="49"/>
    </row>
    <row r="50" ht="15.75" customHeight="1">
      <c r="A50" s="43"/>
      <c r="B50" s="52"/>
      <c r="C50" s="52"/>
      <c r="D50" s="52"/>
      <c r="E50" s="52"/>
      <c r="F50" s="52"/>
      <c r="G50" s="52"/>
      <c r="H50" s="52"/>
      <c r="I50" s="52"/>
      <c r="J50" s="73"/>
      <c r="K50" s="52"/>
      <c r="L50" s="73"/>
      <c r="M50" s="49"/>
      <c r="U50" s="49"/>
      <c r="V50" s="49"/>
      <c r="W50" s="49"/>
      <c r="X50" s="49"/>
      <c r="Y50" s="49"/>
      <c r="Z50" s="49"/>
    </row>
    <row r="51" ht="15.75" customHeight="1">
      <c r="A51" s="80">
        <v>4310.0</v>
      </c>
      <c r="B51" s="52" t="s">
        <v>177</v>
      </c>
      <c r="C51" s="52"/>
      <c r="D51" s="52"/>
      <c r="E51" s="52"/>
      <c r="F51" s="52"/>
      <c r="G51" s="52"/>
      <c r="H51" s="52"/>
      <c r="I51" s="52"/>
      <c r="J51" s="73"/>
      <c r="K51" s="52"/>
      <c r="L51" s="73"/>
      <c r="M51" s="49"/>
      <c r="U51" s="49"/>
      <c r="V51" s="49"/>
      <c r="W51" s="49"/>
      <c r="X51" s="49"/>
      <c r="Y51" s="49"/>
      <c r="Z51" s="49"/>
    </row>
    <row r="52" ht="15.75" customHeight="1">
      <c r="A52" s="125"/>
      <c r="B52" s="43" t="s">
        <v>529</v>
      </c>
      <c r="H52" s="16"/>
      <c r="I52" s="43"/>
      <c r="J52" s="59">
        <v>140000.0</v>
      </c>
      <c r="K52" s="16"/>
      <c r="L52" s="16">
        <v>65000.0</v>
      </c>
      <c r="M52" s="49"/>
      <c r="U52" s="49"/>
      <c r="V52" s="49"/>
      <c r="W52" s="49"/>
      <c r="X52" s="49"/>
      <c r="Y52" s="49"/>
      <c r="Z52" s="49"/>
    </row>
    <row r="53" ht="15.75" customHeight="1">
      <c r="A53" s="43"/>
      <c r="B53" s="43" t="s">
        <v>530</v>
      </c>
      <c r="D53" s="43"/>
      <c r="F53" s="43">
        <v>10.0</v>
      </c>
      <c r="G53" s="43" t="s">
        <v>155</v>
      </c>
      <c r="H53" s="16">
        <v>1000.0</v>
      </c>
      <c r="I53" s="84" t="s">
        <v>119</v>
      </c>
      <c r="J53" s="16">
        <f>F53*H53</f>
        <v>10000</v>
      </c>
      <c r="K53" s="16"/>
      <c r="L53" s="16">
        <v>10000.0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 t="s">
        <v>372</v>
      </c>
      <c r="D54" s="43"/>
      <c r="F54" s="43"/>
      <c r="G54" s="43"/>
      <c r="H54" s="16"/>
      <c r="I54" s="43"/>
      <c r="J54" s="16">
        <v>0.0</v>
      </c>
      <c r="K54" s="16"/>
      <c r="L54" s="16">
        <v>0.0</v>
      </c>
      <c r="M54" s="49"/>
      <c r="N54" s="65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81" t="s">
        <v>147</v>
      </c>
      <c r="C55" s="81"/>
      <c r="D55" s="81"/>
      <c r="E55" s="81"/>
      <c r="F55" s="81"/>
      <c r="G55" s="81"/>
      <c r="H55" s="81"/>
      <c r="I55" s="81"/>
      <c r="J55" s="82">
        <f>SUM(J52:J54)</f>
        <v>150000</v>
      </c>
      <c r="K55" s="81"/>
      <c r="L55" s="82">
        <v>75000.0</v>
      </c>
      <c r="M55" s="49"/>
      <c r="N55" s="49"/>
      <c r="O55" s="65"/>
      <c r="P55" s="65"/>
      <c r="Q55" s="65"/>
      <c r="R55" s="65"/>
      <c r="S55" s="127"/>
      <c r="T55" s="65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9"/>
      <c r="N56" s="49"/>
      <c r="O56" s="16"/>
      <c r="P56" s="91"/>
      <c r="Q56" s="91"/>
      <c r="R56" s="91"/>
      <c r="S56" s="16"/>
      <c r="T56" s="49"/>
      <c r="U56" s="49"/>
      <c r="V56" s="49"/>
      <c r="W56" s="49"/>
      <c r="X56" s="49"/>
      <c r="Y56" s="49"/>
      <c r="Z56" s="49"/>
    </row>
    <row r="57" ht="15.75" customHeight="1">
      <c r="A57" s="80">
        <v>6950.0</v>
      </c>
      <c r="B57" s="52" t="s">
        <v>466</v>
      </c>
      <c r="C57" s="52"/>
      <c r="D57" s="52"/>
      <c r="E57" s="52"/>
      <c r="F57" s="52"/>
      <c r="G57" s="52"/>
      <c r="H57" s="52"/>
      <c r="I57" s="52"/>
      <c r="J57" s="73"/>
      <c r="K57" s="52"/>
      <c r="L57" s="73"/>
      <c r="M57" s="49"/>
      <c r="N57" s="58"/>
      <c r="O57" s="16"/>
      <c r="P57" s="91"/>
      <c r="Q57" s="91"/>
      <c r="R57" s="91"/>
      <c r="S57" s="16"/>
      <c r="T57" s="49"/>
      <c r="U57" s="49"/>
      <c r="V57" s="49"/>
      <c r="W57" s="49"/>
      <c r="X57" s="49"/>
      <c r="Y57" s="49"/>
      <c r="Z57" s="49"/>
    </row>
    <row r="58" ht="15.75" customHeight="1">
      <c r="A58" s="125"/>
      <c r="B58" s="43" t="s">
        <v>192</v>
      </c>
      <c r="F58" s="43">
        <v>10.0</v>
      </c>
      <c r="G58" s="43" t="s">
        <v>155</v>
      </c>
      <c r="H58" s="16">
        <v>1600.0</v>
      </c>
      <c r="I58" s="84" t="s">
        <v>119</v>
      </c>
      <c r="J58" s="16">
        <f>F58*H58</f>
        <v>16000</v>
      </c>
      <c r="K58" s="16"/>
      <c r="L58" s="16">
        <v>16000.0</v>
      </c>
      <c r="M58" s="49"/>
      <c r="N58" s="49"/>
      <c r="O58" s="16"/>
      <c r="P58" s="91"/>
      <c r="Q58" s="91"/>
      <c r="R58" s="91"/>
      <c r="S58" s="16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81" t="s">
        <v>147</v>
      </c>
      <c r="C59" s="81"/>
      <c r="D59" s="81"/>
      <c r="E59" s="81"/>
      <c r="F59" s="81"/>
      <c r="G59" s="81"/>
      <c r="H59" s="128" t="s">
        <v>256</v>
      </c>
      <c r="I59" s="81"/>
      <c r="J59" s="82">
        <f>SUM(J58)</f>
        <v>16000</v>
      </c>
      <c r="K59" s="81"/>
      <c r="L59" s="82">
        <v>16000.0</v>
      </c>
      <c r="M59" s="49"/>
      <c r="N59" s="49"/>
      <c r="O59" s="16"/>
      <c r="P59" s="91"/>
      <c r="Q59" s="91"/>
      <c r="R59" s="91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/>
      <c r="N60" s="65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7"/>
      <c r="B61" s="47" t="s">
        <v>4</v>
      </c>
      <c r="C61" s="47"/>
      <c r="D61" s="47"/>
      <c r="E61" s="47"/>
      <c r="F61" s="47"/>
      <c r="G61" s="47"/>
      <c r="H61" s="47"/>
      <c r="I61" s="47"/>
      <c r="J61" s="57">
        <f>SUM(J34:J60)/2</f>
        <v>522280.8611</v>
      </c>
      <c r="K61" s="47"/>
      <c r="L61" s="57">
        <v>324900.0</v>
      </c>
      <c r="M61" s="58"/>
      <c r="N61" s="49"/>
      <c r="O61" s="49"/>
      <c r="P61" s="49"/>
      <c r="Q61" s="49"/>
      <c r="R61" s="49"/>
      <c r="S61" s="49"/>
      <c r="T61" s="49"/>
      <c r="U61" s="58"/>
      <c r="V61" s="58"/>
      <c r="W61" s="58"/>
      <c r="X61" s="58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16"/>
      <c r="K62" s="43"/>
      <c r="L62" s="16"/>
      <c r="M62" s="49"/>
      <c r="N62" s="65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7"/>
      <c r="B63" s="47" t="s">
        <v>5</v>
      </c>
      <c r="C63" s="47"/>
      <c r="D63" s="47"/>
      <c r="E63" s="47"/>
      <c r="F63" s="47"/>
      <c r="G63" s="47"/>
      <c r="H63" s="47"/>
      <c r="I63" s="47"/>
      <c r="J63" s="57">
        <f>J33-J61</f>
        <v>38424.15397</v>
      </c>
      <c r="K63" s="47"/>
      <c r="L63" s="57">
        <v>65600.0</v>
      </c>
      <c r="M63" s="58"/>
      <c r="N63" s="49"/>
      <c r="O63" s="65"/>
      <c r="P63" s="65"/>
      <c r="Q63" s="65"/>
      <c r="R63" s="65"/>
      <c r="S63" s="127"/>
      <c r="T63" s="65"/>
      <c r="U63" s="58"/>
      <c r="V63" s="58"/>
      <c r="W63" s="58"/>
      <c r="X63" s="58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9"/>
      <c r="N64" s="49"/>
      <c r="O64" s="16"/>
      <c r="P64" s="91"/>
      <c r="Q64" s="91"/>
      <c r="R64" s="91"/>
      <c r="S64" s="16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9"/>
      <c r="N65" s="49"/>
      <c r="O65" s="16"/>
      <c r="P65" s="91"/>
      <c r="Q65" s="91"/>
      <c r="R65" s="91"/>
      <c r="S65" s="16"/>
      <c r="T65" s="49"/>
      <c r="U65" s="49"/>
      <c r="V65" s="49"/>
      <c r="W65" s="49"/>
      <c r="X65" s="49"/>
      <c r="Y65" s="49"/>
      <c r="Z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9"/>
      <c r="N66" s="49"/>
      <c r="O66" s="16"/>
      <c r="P66" s="91"/>
      <c r="Q66" s="91"/>
      <c r="R66" s="91"/>
      <c r="S66" s="16"/>
      <c r="T66" s="49"/>
      <c r="U66" s="49"/>
      <c r="V66" s="49"/>
      <c r="W66" s="49"/>
      <c r="X66" s="49"/>
      <c r="Y66" s="49"/>
      <c r="Z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9"/>
      <c r="N67" s="49"/>
      <c r="O67" s="16"/>
      <c r="P67" s="91"/>
      <c r="Q67" s="91"/>
      <c r="R67" s="91"/>
      <c r="T67" s="49"/>
      <c r="U67" s="49"/>
      <c r="V67" s="49"/>
      <c r="W67" s="49"/>
      <c r="X67" s="49"/>
      <c r="Y67" s="49"/>
      <c r="Z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9"/>
      <c r="N68" s="65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9"/>
      <c r="N70" s="65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9"/>
      <c r="O71" s="65"/>
      <c r="P71" s="65"/>
      <c r="Q71" s="65"/>
      <c r="R71" s="65"/>
      <c r="S71" s="127"/>
      <c r="T71" s="65"/>
      <c r="U71" s="49"/>
      <c r="V71" s="49"/>
      <c r="W71" s="49"/>
      <c r="X71" s="49"/>
      <c r="Y71" s="49"/>
      <c r="Z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9"/>
      <c r="O72" s="49"/>
      <c r="P72" s="49"/>
      <c r="Q72" s="49"/>
      <c r="R72" s="49"/>
      <c r="S72" s="49"/>
      <c r="T72" s="49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9"/>
      <c r="O73" s="49"/>
      <c r="P73" s="49"/>
      <c r="Q73" s="49"/>
      <c r="R73" s="49"/>
      <c r="S73" s="49"/>
      <c r="T73" s="49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9"/>
      <c r="O74" s="49"/>
      <c r="P74" s="49"/>
      <c r="Q74" s="49"/>
      <c r="R74" s="49"/>
      <c r="S74" s="49"/>
      <c r="T74" s="49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O75" s="49"/>
      <c r="P75" s="49"/>
      <c r="Q75" s="49"/>
      <c r="R75" s="49"/>
      <c r="S75" s="49"/>
      <c r="T75" s="49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65"/>
      <c r="O76" s="49"/>
      <c r="P76" s="49"/>
      <c r="Q76" s="49"/>
      <c r="R76" s="49"/>
      <c r="S76" s="49"/>
      <c r="T76" s="49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9"/>
      <c r="K196" s="49"/>
      <c r="L196" s="99"/>
      <c r="M196" s="49"/>
      <c r="N196" s="49"/>
      <c r="O196" s="49"/>
      <c r="P196" s="49"/>
      <c r="Q196" s="49"/>
      <c r="R196" s="49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9"/>
      <c r="K197" s="49"/>
      <c r="L197" s="99"/>
      <c r="M197" s="49"/>
      <c r="N197" s="49"/>
      <c r="O197" s="49"/>
      <c r="P197" s="49"/>
      <c r="Q197" s="49"/>
      <c r="R197" s="49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9"/>
      <c r="K198" s="49"/>
      <c r="L198" s="99"/>
      <c r="M198" s="49"/>
      <c r="N198" s="49"/>
      <c r="O198" s="49"/>
      <c r="P198" s="49"/>
      <c r="Q198" s="49"/>
      <c r="R198" s="49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9"/>
      <c r="K199" s="49"/>
      <c r="L199" s="99"/>
      <c r="M199" s="49"/>
      <c r="N199" s="49"/>
      <c r="O199" s="49"/>
      <c r="P199" s="49"/>
      <c r="Q199" s="49"/>
      <c r="R199" s="49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9"/>
      <c r="K200" s="49"/>
      <c r="L200" s="99"/>
      <c r="M200" s="49"/>
      <c r="N200" s="49"/>
      <c r="O200" s="49"/>
      <c r="P200" s="49"/>
      <c r="Q200" s="49"/>
      <c r="R200" s="49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9"/>
      <c r="K201" s="49"/>
      <c r="L201" s="99"/>
      <c r="M201" s="49"/>
      <c r="N201" s="49"/>
      <c r="O201" s="49"/>
      <c r="P201" s="49"/>
      <c r="Q201" s="49"/>
      <c r="R201" s="49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9"/>
      <c r="K202" s="49"/>
      <c r="L202" s="99"/>
      <c r="M202" s="49"/>
      <c r="N202" s="49"/>
      <c r="O202" s="49"/>
      <c r="P202" s="49"/>
      <c r="Q202" s="49"/>
      <c r="R202" s="49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9"/>
      <c r="K203" s="49"/>
      <c r="L203" s="99"/>
      <c r="M203" s="49"/>
      <c r="N203" s="49"/>
      <c r="O203" s="49"/>
      <c r="P203" s="49"/>
      <c r="Q203" s="49"/>
      <c r="R203" s="49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9"/>
      <c r="K204" s="49"/>
      <c r="L204" s="99"/>
      <c r="M204" s="49"/>
      <c r="N204" s="49"/>
      <c r="O204" s="49"/>
      <c r="P204" s="49"/>
      <c r="Q204" s="49"/>
      <c r="R204" s="49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9"/>
      <c r="K205" s="49"/>
      <c r="L205" s="99"/>
      <c r="M205" s="49"/>
      <c r="N205" s="49"/>
      <c r="O205" s="49"/>
      <c r="P205" s="49"/>
      <c r="Q205" s="49"/>
      <c r="R205" s="49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9"/>
      <c r="K206" s="49"/>
      <c r="L206" s="99"/>
      <c r="M206" s="49"/>
      <c r="N206" s="49"/>
      <c r="O206" s="49"/>
      <c r="P206" s="49"/>
      <c r="Q206" s="49"/>
      <c r="R206" s="49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9"/>
      <c r="K207" s="49"/>
      <c r="L207" s="99"/>
      <c r="M207" s="49"/>
      <c r="N207" s="49"/>
      <c r="O207" s="49"/>
      <c r="P207" s="49"/>
      <c r="Q207" s="49"/>
      <c r="R207" s="49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9"/>
      <c r="K208" s="49"/>
      <c r="L208" s="99"/>
      <c r="M208" s="49"/>
      <c r="N208" s="49"/>
      <c r="O208" s="49"/>
      <c r="P208" s="49"/>
      <c r="Q208" s="49"/>
      <c r="R208" s="49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9"/>
      <c r="K209" s="49"/>
      <c r="L209" s="99"/>
      <c r="M209" s="49"/>
      <c r="N209" s="49"/>
      <c r="O209" s="49"/>
      <c r="P209" s="49"/>
      <c r="Q209" s="49"/>
      <c r="R209" s="49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9"/>
      <c r="K210" s="49"/>
      <c r="L210" s="99"/>
      <c r="M210" s="49"/>
      <c r="N210" s="49"/>
      <c r="O210" s="49"/>
      <c r="P210" s="49"/>
      <c r="Q210" s="49"/>
      <c r="R210" s="49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9"/>
      <c r="K211" s="49"/>
      <c r="L211" s="99"/>
      <c r="M211" s="49"/>
      <c r="N211" s="49"/>
      <c r="O211" s="49"/>
      <c r="P211" s="49"/>
      <c r="Q211" s="49"/>
      <c r="R211" s="49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9"/>
      <c r="K212" s="49"/>
      <c r="L212" s="99"/>
      <c r="M212" s="49"/>
      <c r="N212" s="49"/>
      <c r="O212" s="49"/>
      <c r="P212" s="49"/>
      <c r="Q212" s="49"/>
      <c r="R212" s="49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9"/>
      <c r="K213" s="49"/>
      <c r="L213" s="99"/>
      <c r="M213" s="49"/>
      <c r="N213" s="49"/>
      <c r="O213" s="49"/>
      <c r="P213" s="49"/>
      <c r="Q213" s="49"/>
      <c r="R213" s="49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9"/>
      <c r="K214" s="49"/>
      <c r="L214" s="99"/>
      <c r="M214" s="49"/>
      <c r="N214" s="49"/>
      <c r="O214" s="49"/>
      <c r="P214" s="49"/>
      <c r="Q214" s="49"/>
      <c r="R214" s="49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9"/>
      <c r="K215" s="49"/>
      <c r="L215" s="99"/>
      <c r="M215" s="49"/>
      <c r="N215" s="49"/>
      <c r="O215" s="49"/>
      <c r="P215" s="49"/>
      <c r="Q215" s="49"/>
      <c r="R215" s="49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9"/>
      <c r="K216" s="49"/>
      <c r="L216" s="99"/>
      <c r="M216" s="49"/>
      <c r="N216" s="49"/>
      <c r="O216" s="49"/>
      <c r="P216" s="49"/>
      <c r="Q216" s="49"/>
      <c r="R216" s="49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9"/>
      <c r="K217" s="49"/>
      <c r="L217" s="99"/>
      <c r="M217" s="49"/>
      <c r="N217" s="49"/>
      <c r="O217" s="49"/>
      <c r="P217" s="49"/>
      <c r="Q217" s="49"/>
      <c r="R217" s="49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9"/>
      <c r="K218" s="49"/>
      <c r="L218" s="99"/>
      <c r="M218" s="49"/>
      <c r="N218" s="49"/>
      <c r="O218" s="49"/>
      <c r="P218" s="49"/>
      <c r="Q218" s="49"/>
      <c r="R218" s="49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9"/>
      <c r="K219" s="49"/>
      <c r="L219" s="99"/>
      <c r="M219" s="49"/>
      <c r="N219" s="49"/>
      <c r="O219" s="49"/>
      <c r="P219" s="49"/>
      <c r="Q219" s="49"/>
      <c r="R219" s="49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9"/>
      <c r="K220" s="49"/>
      <c r="L220" s="99"/>
      <c r="M220" s="49"/>
      <c r="N220" s="49"/>
      <c r="O220" s="49"/>
      <c r="P220" s="49"/>
      <c r="Q220" s="49"/>
      <c r="R220" s="49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9"/>
      <c r="K221" s="49"/>
      <c r="L221" s="99"/>
      <c r="M221" s="49"/>
      <c r="N221" s="49"/>
      <c r="O221" s="49"/>
      <c r="P221" s="49"/>
      <c r="Q221" s="49"/>
      <c r="R221" s="49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9"/>
      <c r="K222" s="49"/>
      <c r="L222" s="99"/>
      <c r="M222" s="49"/>
      <c r="N222" s="49"/>
      <c r="O222" s="49"/>
      <c r="P222" s="49"/>
      <c r="Q222" s="49"/>
      <c r="R222" s="49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9"/>
      <c r="K223" s="49"/>
      <c r="L223" s="99"/>
      <c r="M223" s="49"/>
      <c r="N223" s="49"/>
      <c r="O223" s="49"/>
      <c r="P223" s="49"/>
      <c r="Q223" s="49"/>
      <c r="R223" s="49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9"/>
      <c r="K224" s="49"/>
      <c r="L224" s="99"/>
      <c r="M224" s="49"/>
      <c r="N224" s="49"/>
      <c r="O224" s="49"/>
      <c r="P224" s="49"/>
      <c r="Q224" s="49"/>
      <c r="R224" s="49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9"/>
      <c r="K225" s="49"/>
      <c r="L225" s="99"/>
      <c r="M225" s="49"/>
      <c r="N225" s="49"/>
      <c r="O225" s="49"/>
      <c r="P225" s="49"/>
      <c r="Q225" s="49"/>
      <c r="R225" s="49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9"/>
      <c r="K226" s="49"/>
      <c r="L226" s="99"/>
      <c r="M226" s="49"/>
      <c r="N226" s="49"/>
      <c r="O226" s="49"/>
      <c r="P226" s="49"/>
      <c r="Q226" s="49"/>
      <c r="R226" s="49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9"/>
      <c r="K227" s="49"/>
      <c r="L227" s="99"/>
      <c r="M227" s="49"/>
      <c r="N227" s="49"/>
      <c r="O227" s="49"/>
      <c r="P227" s="49"/>
      <c r="Q227" s="49"/>
      <c r="R227" s="49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9"/>
      <c r="K228" s="49"/>
      <c r="L228" s="99"/>
      <c r="M228" s="49"/>
      <c r="N228" s="49"/>
      <c r="O228" s="49"/>
      <c r="P228" s="49"/>
      <c r="Q228" s="49"/>
      <c r="R228" s="49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9"/>
      <c r="K229" s="49"/>
      <c r="L229" s="99"/>
      <c r="M229" s="49"/>
      <c r="N229" s="49"/>
      <c r="O229" s="49"/>
      <c r="P229" s="49"/>
      <c r="Q229" s="49"/>
      <c r="R229" s="49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9"/>
      <c r="K230" s="49"/>
      <c r="L230" s="99"/>
      <c r="M230" s="49"/>
      <c r="N230" s="49"/>
      <c r="O230" s="49"/>
      <c r="P230" s="49"/>
      <c r="Q230" s="49"/>
      <c r="R230" s="49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9"/>
      <c r="K231" s="49"/>
      <c r="L231" s="99"/>
      <c r="M231" s="49"/>
      <c r="N231" s="49"/>
      <c r="O231" s="49"/>
      <c r="P231" s="49"/>
      <c r="Q231" s="49"/>
      <c r="R231" s="49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9"/>
      <c r="K232" s="49"/>
      <c r="L232" s="99"/>
      <c r="M232" s="49"/>
      <c r="N232" s="49"/>
      <c r="O232" s="49"/>
      <c r="P232" s="49"/>
      <c r="Q232" s="49"/>
      <c r="R232" s="49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9"/>
      <c r="K233" s="49"/>
      <c r="L233" s="99"/>
      <c r="M233" s="49"/>
      <c r="N233" s="49"/>
      <c r="O233" s="49"/>
      <c r="P233" s="49"/>
      <c r="Q233" s="49"/>
      <c r="R233" s="49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9"/>
      <c r="K234" s="49"/>
      <c r="L234" s="99"/>
      <c r="M234" s="49"/>
      <c r="N234" s="49"/>
      <c r="O234" s="49"/>
      <c r="P234" s="49"/>
      <c r="Q234" s="49"/>
      <c r="R234" s="49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9"/>
      <c r="K235" s="49"/>
      <c r="L235" s="99"/>
      <c r="M235" s="49"/>
      <c r="N235" s="49"/>
      <c r="O235" s="49"/>
      <c r="P235" s="49"/>
      <c r="Q235" s="49"/>
      <c r="R235" s="49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9"/>
      <c r="K236" s="49"/>
      <c r="L236" s="99"/>
      <c r="M236" s="49"/>
      <c r="N236" s="49"/>
      <c r="O236" s="49"/>
      <c r="P236" s="49"/>
      <c r="Q236" s="49"/>
      <c r="R236" s="49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9"/>
      <c r="K237" s="49"/>
      <c r="L237" s="99"/>
      <c r="M237" s="49"/>
      <c r="N237" s="49"/>
      <c r="O237" s="49"/>
      <c r="P237" s="49"/>
      <c r="Q237" s="49"/>
      <c r="R237" s="49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9"/>
      <c r="K238" s="49"/>
      <c r="L238" s="99"/>
      <c r="M238" s="49"/>
      <c r="N238" s="49"/>
      <c r="O238" s="49"/>
      <c r="P238" s="49"/>
      <c r="Q238" s="49"/>
      <c r="R238" s="49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9"/>
      <c r="K239" s="49"/>
      <c r="L239" s="99"/>
      <c r="M239" s="49"/>
      <c r="N239" s="49"/>
      <c r="O239" s="49"/>
      <c r="P239" s="49"/>
      <c r="Q239" s="49"/>
      <c r="R239" s="49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9"/>
      <c r="K240" s="49"/>
      <c r="L240" s="99"/>
      <c r="M240" s="49"/>
      <c r="N240" s="49"/>
      <c r="O240" s="49"/>
      <c r="P240" s="49"/>
      <c r="Q240" s="49"/>
      <c r="R240" s="49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9"/>
      <c r="K241" s="49"/>
      <c r="L241" s="99"/>
      <c r="M241" s="49"/>
      <c r="N241" s="49"/>
      <c r="O241" s="49"/>
      <c r="P241" s="49"/>
      <c r="Q241" s="49"/>
      <c r="R241" s="49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9"/>
      <c r="K242" s="49"/>
      <c r="L242" s="99"/>
      <c r="M242" s="49"/>
      <c r="N242" s="49"/>
      <c r="O242" s="49"/>
      <c r="P242" s="49"/>
      <c r="Q242" s="49"/>
      <c r="R242" s="49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9"/>
      <c r="K243" s="49"/>
      <c r="L243" s="99"/>
      <c r="M243" s="49"/>
      <c r="N243" s="49"/>
      <c r="O243" s="49"/>
      <c r="P243" s="49"/>
      <c r="Q243" s="49"/>
      <c r="R243" s="49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9"/>
      <c r="K244" s="49"/>
      <c r="L244" s="99"/>
      <c r="M244" s="49"/>
      <c r="N244" s="49"/>
      <c r="O244" s="49"/>
      <c r="P244" s="49"/>
      <c r="Q244" s="49"/>
      <c r="R244" s="49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9"/>
      <c r="K245" s="49"/>
      <c r="L245" s="99"/>
      <c r="M245" s="49"/>
      <c r="N245" s="49"/>
      <c r="O245" s="49"/>
      <c r="P245" s="49"/>
      <c r="Q245" s="49"/>
      <c r="R245" s="49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9"/>
      <c r="K246" s="49"/>
      <c r="L246" s="99"/>
      <c r="M246" s="49"/>
      <c r="N246" s="49"/>
      <c r="O246" s="49"/>
      <c r="P246" s="49"/>
      <c r="Q246" s="49"/>
      <c r="R246" s="49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9"/>
      <c r="K247" s="49"/>
      <c r="L247" s="99"/>
      <c r="M247" s="49"/>
      <c r="N247" s="49"/>
      <c r="O247" s="49"/>
      <c r="P247" s="49"/>
      <c r="Q247" s="49"/>
      <c r="R247" s="49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9"/>
      <c r="K248" s="49"/>
      <c r="L248" s="99"/>
      <c r="M248" s="49"/>
      <c r="N248" s="49"/>
      <c r="O248" s="49"/>
      <c r="P248" s="49"/>
      <c r="Q248" s="49"/>
      <c r="R248" s="49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9"/>
      <c r="K249" s="49"/>
      <c r="L249" s="99"/>
      <c r="M249" s="49"/>
      <c r="N249" s="49"/>
      <c r="O249" s="49"/>
      <c r="P249" s="49"/>
      <c r="Q249" s="49"/>
      <c r="R249" s="49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9"/>
      <c r="K250" s="49"/>
      <c r="L250" s="99"/>
      <c r="M250" s="49"/>
      <c r="N250" s="49"/>
      <c r="O250" s="49"/>
      <c r="P250" s="49"/>
      <c r="Q250" s="49"/>
      <c r="R250" s="49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9"/>
      <c r="K251" s="49"/>
      <c r="L251" s="99"/>
      <c r="M251" s="49"/>
      <c r="N251" s="49"/>
      <c r="O251" s="49"/>
      <c r="P251" s="49"/>
      <c r="Q251" s="49"/>
      <c r="R251" s="49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9"/>
      <c r="K252" s="49"/>
      <c r="L252" s="99"/>
      <c r="M252" s="49"/>
      <c r="N252" s="49"/>
      <c r="O252" s="49"/>
      <c r="P252" s="49"/>
      <c r="Q252" s="49"/>
      <c r="R252" s="49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9"/>
      <c r="K253" s="49"/>
      <c r="L253" s="99"/>
      <c r="M253" s="49"/>
      <c r="N253" s="49"/>
      <c r="O253" s="49"/>
      <c r="P253" s="49"/>
      <c r="Q253" s="49"/>
      <c r="R253" s="49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9"/>
      <c r="K254" s="49"/>
      <c r="L254" s="99"/>
      <c r="M254" s="49"/>
      <c r="N254" s="49"/>
      <c r="O254" s="49"/>
      <c r="P254" s="49"/>
      <c r="Q254" s="49"/>
      <c r="R254" s="49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9"/>
      <c r="K255" s="49"/>
      <c r="L255" s="99"/>
      <c r="M255" s="49"/>
      <c r="N255" s="49"/>
      <c r="O255" s="49"/>
      <c r="P255" s="49"/>
      <c r="Q255" s="49"/>
      <c r="R255" s="49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9"/>
      <c r="K256" s="49"/>
      <c r="L256" s="99"/>
      <c r="M256" s="49"/>
      <c r="N256" s="49"/>
      <c r="O256" s="49"/>
      <c r="P256" s="49"/>
      <c r="Q256" s="49"/>
      <c r="R256" s="49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9"/>
      <c r="K257" s="49"/>
      <c r="L257" s="99"/>
      <c r="M257" s="49"/>
      <c r="N257" s="49"/>
      <c r="O257" s="49"/>
      <c r="P257" s="49"/>
      <c r="Q257" s="49"/>
      <c r="R257" s="49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9"/>
      <c r="K258" s="49"/>
      <c r="L258" s="99"/>
      <c r="M258" s="49"/>
      <c r="N258" s="49"/>
      <c r="O258" s="49"/>
      <c r="P258" s="49"/>
      <c r="Q258" s="49"/>
      <c r="R258" s="49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9"/>
      <c r="K259" s="49"/>
      <c r="L259" s="99"/>
      <c r="M259" s="49"/>
      <c r="N259" s="49"/>
      <c r="O259" s="49"/>
      <c r="P259" s="49"/>
      <c r="Q259" s="49"/>
      <c r="R259" s="49"/>
      <c r="S259" s="43"/>
      <c r="T259" s="43"/>
      <c r="U259" s="43"/>
      <c r="V259" s="43"/>
      <c r="W259" s="43"/>
      <c r="X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9"/>
      <c r="K260" s="49"/>
      <c r="L260" s="99"/>
      <c r="M260" s="49"/>
      <c r="N260" s="49"/>
      <c r="O260" s="49"/>
      <c r="P260" s="49"/>
      <c r="Q260" s="49"/>
      <c r="R260" s="49"/>
      <c r="S260" s="43"/>
      <c r="T260" s="43"/>
      <c r="U260" s="43"/>
      <c r="V260" s="43"/>
      <c r="W260" s="43"/>
      <c r="X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9"/>
      <c r="K261" s="49"/>
      <c r="L261" s="99"/>
      <c r="M261" s="49"/>
      <c r="N261" s="49"/>
      <c r="O261" s="49"/>
      <c r="P261" s="49"/>
      <c r="Q261" s="49"/>
      <c r="R261" s="49"/>
      <c r="S261" s="43"/>
      <c r="T261" s="43"/>
      <c r="U261" s="43"/>
      <c r="V261" s="43"/>
      <c r="W261" s="43"/>
      <c r="X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9"/>
      <c r="K262" s="49"/>
      <c r="L262" s="99"/>
      <c r="M262" s="49"/>
      <c r="N262" s="49"/>
      <c r="O262" s="49"/>
      <c r="P262" s="49"/>
      <c r="Q262" s="49"/>
      <c r="R262" s="49"/>
      <c r="S262" s="43"/>
      <c r="T262" s="43"/>
      <c r="U262" s="43"/>
      <c r="V262" s="43"/>
      <c r="W262" s="43"/>
      <c r="X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9"/>
      <c r="K263" s="49"/>
      <c r="L263" s="99"/>
      <c r="M263" s="49"/>
      <c r="N263" s="49"/>
      <c r="O263" s="49"/>
      <c r="P263" s="49"/>
      <c r="Q263" s="49"/>
      <c r="R263" s="49"/>
      <c r="S263" s="43"/>
      <c r="T263" s="43"/>
      <c r="U263" s="43"/>
      <c r="V263" s="43"/>
      <c r="W263" s="43"/>
      <c r="X263" s="43"/>
    </row>
    <row r="264" ht="15.75" customHeight="1">
      <c r="J264" s="49"/>
      <c r="K264" s="49"/>
      <c r="L264" s="49"/>
      <c r="M264" s="49"/>
      <c r="N264" s="49"/>
      <c r="O264" s="49"/>
      <c r="P264" s="49"/>
      <c r="Q264" s="49"/>
      <c r="R264" s="49"/>
    </row>
    <row r="265" ht="15.75" customHeight="1">
      <c r="J265" s="49"/>
      <c r="K265" s="49"/>
      <c r="L265" s="49"/>
      <c r="M265" s="49"/>
      <c r="N265" s="49"/>
      <c r="O265" s="49"/>
      <c r="P265" s="49"/>
      <c r="Q265" s="49"/>
      <c r="R265" s="49"/>
    </row>
    <row r="266" ht="15.75" customHeight="1">
      <c r="J266" s="49"/>
      <c r="K266" s="49"/>
      <c r="L266" s="49"/>
      <c r="M266" s="49"/>
      <c r="N266" s="49"/>
      <c r="O266" s="49"/>
      <c r="P266" s="49"/>
      <c r="Q266" s="49"/>
      <c r="R266" s="49"/>
    </row>
    <row r="267" ht="15.75" customHeight="1">
      <c r="J267" s="49"/>
      <c r="K267" s="49"/>
      <c r="L267" s="49"/>
      <c r="M267" s="49"/>
      <c r="N267" s="49"/>
      <c r="O267" s="49"/>
      <c r="P267" s="49"/>
      <c r="Q267" s="49"/>
      <c r="R267" s="49"/>
    </row>
    <row r="268" ht="15.75" customHeight="1">
      <c r="J268" s="49"/>
      <c r="K268" s="49"/>
      <c r="L268" s="49"/>
      <c r="M268" s="49"/>
      <c r="N268" s="49"/>
      <c r="O268" s="49"/>
      <c r="P268" s="49"/>
      <c r="Q268" s="49"/>
      <c r="R268" s="49"/>
    </row>
    <row r="269" ht="15.75" customHeight="1">
      <c r="J269" s="49"/>
      <c r="K269" s="49"/>
      <c r="L269" s="49"/>
      <c r="M269" s="49"/>
      <c r="N269" s="49"/>
      <c r="O269" s="49"/>
      <c r="P269" s="49"/>
      <c r="Q269" s="49"/>
      <c r="R269" s="49"/>
    </row>
    <row r="270" ht="15.75" customHeight="1">
      <c r="J270" s="49"/>
      <c r="K270" s="49"/>
      <c r="L270" s="49"/>
      <c r="M270" s="49"/>
      <c r="N270" s="49"/>
      <c r="O270" s="49"/>
      <c r="P270" s="49"/>
      <c r="Q270" s="49"/>
      <c r="R270" s="49"/>
    </row>
    <row r="271" ht="15.75" customHeight="1">
      <c r="J271" s="49"/>
      <c r="K271" s="49"/>
      <c r="L271" s="49"/>
      <c r="M271" s="49"/>
      <c r="N271" s="49"/>
      <c r="O271" s="49"/>
      <c r="P271" s="49"/>
      <c r="Q271" s="49"/>
      <c r="R271" s="49"/>
    </row>
    <row r="272" ht="15.75" customHeight="1">
      <c r="J272" s="49"/>
      <c r="K272" s="49"/>
      <c r="L272" s="49"/>
      <c r="M272" s="49"/>
      <c r="N272" s="49"/>
      <c r="O272" s="49"/>
      <c r="P272" s="49"/>
      <c r="Q272" s="49"/>
      <c r="R272" s="49"/>
    </row>
    <row r="273" ht="15.75" customHeight="1">
      <c r="J273" s="49"/>
      <c r="K273" s="49"/>
      <c r="L273" s="49"/>
      <c r="M273" s="49"/>
      <c r="N273" s="49"/>
      <c r="O273" s="49"/>
      <c r="P273" s="49"/>
      <c r="Q273" s="49"/>
      <c r="R273" s="49"/>
    </row>
    <row r="274" ht="15.75" customHeight="1">
      <c r="J274" s="49"/>
      <c r="K274" s="49"/>
      <c r="L274" s="49"/>
      <c r="M274" s="49"/>
      <c r="N274" s="49"/>
      <c r="O274" s="49"/>
      <c r="P274" s="49"/>
      <c r="Q274" s="49"/>
      <c r="R274" s="49"/>
    </row>
    <row r="275" ht="15.75" customHeight="1">
      <c r="J275" s="49"/>
      <c r="K275" s="49"/>
      <c r="L275" s="49"/>
      <c r="M275" s="49"/>
      <c r="N275" s="49"/>
      <c r="O275" s="49"/>
      <c r="P275" s="49"/>
      <c r="Q275" s="49"/>
      <c r="R275" s="49"/>
    </row>
    <row r="276" ht="15.75" customHeight="1">
      <c r="J276" s="49"/>
      <c r="K276" s="49"/>
      <c r="L276" s="49"/>
      <c r="M276" s="49"/>
      <c r="N276" s="49"/>
      <c r="O276" s="49"/>
      <c r="P276" s="49"/>
      <c r="Q276" s="49"/>
      <c r="R276" s="49"/>
    </row>
    <row r="277" ht="15.75" customHeight="1">
      <c r="J277" s="49"/>
      <c r="K277" s="49"/>
      <c r="L277" s="49"/>
      <c r="M277" s="49"/>
      <c r="N277" s="49"/>
      <c r="O277" s="49"/>
      <c r="P277" s="49"/>
      <c r="Q277" s="49"/>
      <c r="R277" s="49"/>
    </row>
    <row r="278" ht="15.75" customHeight="1">
      <c r="J278" s="49"/>
      <c r="K278" s="49"/>
      <c r="L278" s="49"/>
      <c r="M278" s="49"/>
      <c r="N278" s="49"/>
      <c r="O278" s="49"/>
      <c r="P278" s="49"/>
      <c r="Q278" s="49"/>
      <c r="R278" s="49"/>
    </row>
    <row r="279" ht="15.75" customHeight="1">
      <c r="J279" s="49"/>
      <c r="K279" s="49"/>
      <c r="L279" s="49"/>
      <c r="M279" s="49"/>
      <c r="N279" s="49"/>
      <c r="O279" s="49"/>
      <c r="P279" s="49"/>
      <c r="Q279" s="49"/>
      <c r="R279" s="49"/>
    </row>
    <row r="280" ht="15.75" customHeight="1">
      <c r="J280" s="49"/>
      <c r="K280" s="49"/>
      <c r="L280" s="49"/>
      <c r="M280" s="49"/>
      <c r="N280" s="49"/>
      <c r="O280" s="49"/>
      <c r="P280" s="49"/>
      <c r="Q280" s="49"/>
      <c r="R280" s="49"/>
    </row>
    <row r="281" ht="15.75" customHeight="1">
      <c r="J281" s="49"/>
      <c r="K281" s="49"/>
      <c r="L281" s="49"/>
      <c r="M281" s="49"/>
      <c r="N281" s="49"/>
      <c r="O281" s="49"/>
      <c r="P281" s="49"/>
      <c r="Q281" s="49"/>
      <c r="R281" s="49"/>
    </row>
    <row r="282" ht="15.75" customHeight="1">
      <c r="J282" s="49"/>
      <c r="K282" s="49"/>
      <c r="L282" s="49"/>
      <c r="M282" s="49"/>
      <c r="N282" s="49"/>
      <c r="O282" s="49"/>
      <c r="P282" s="49"/>
      <c r="Q282" s="49"/>
      <c r="R282" s="49"/>
    </row>
    <row r="283" ht="15.75" customHeight="1">
      <c r="J283" s="49"/>
      <c r="K283" s="49"/>
      <c r="L283" s="49"/>
      <c r="M283" s="49"/>
      <c r="N283" s="49"/>
      <c r="O283" s="49"/>
      <c r="P283" s="49"/>
      <c r="Q283" s="49"/>
      <c r="R283" s="49"/>
    </row>
    <row r="284" ht="15.75" customHeight="1">
      <c r="J284" s="49"/>
      <c r="K284" s="49"/>
      <c r="L284" s="49"/>
      <c r="M284" s="49"/>
      <c r="N284" s="49"/>
      <c r="O284" s="49"/>
      <c r="P284" s="49"/>
      <c r="Q284" s="49"/>
      <c r="R284" s="49"/>
    </row>
    <row r="285" ht="15.75" customHeight="1">
      <c r="J285" s="49"/>
      <c r="K285" s="49"/>
      <c r="L285" s="49"/>
      <c r="M285" s="49"/>
      <c r="N285" s="49"/>
      <c r="O285" s="49"/>
      <c r="P285" s="49"/>
      <c r="Q285" s="49"/>
      <c r="R285" s="49"/>
    </row>
    <row r="286" ht="15.75" customHeight="1">
      <c r="J286" s="49"/>
      <c r="K286" s="49"/>
      <c r="L286" s="49"/>
      <c r="M286" s="49"/>
      <c r="N286" s="49"/>
      <c r="O286" s="49"/>
      <c r="P286" s="49"/>
      <c r="Q286" s="49"/>
      <c r="R286" s="49"/>
    </row>
    <row r="287" ht="15.75" customHeight="1">
      <c r="J287" s="49"/>
      <c r="K287" s="49"/>
      <c r="L287" s="49"/>
      <c r="M287" s="49"/>
      <c r="N287" s="49"/>
      <c r="O287" s="49"/>
      <c r="P287" s="49"/>
      <c r="Q287" s="49"/>
      <c r="R287" s="49"/>
    </row>
    <row r="288" ht="15.75" customHeight="1">
      <c r="J288" s="49"/>
      <c r="K288" s="49"/>
      <c r="L288" s="49"/>
      <c r="M288" s="49"/>
      <c r="N288" s="49"/>
      <c r="O288" s="49"/>
      <c r="P288" s="49"/>
      <c r="Q288" s="49"/>
      <c r="R288" s="49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S56:S58 S64:S66">
    <cfRule type="cellIs" dxfId="0" priority="1" operator="greaterThan">
      <formula>T25</formula>
    </cfRule>
  </conditionalFormatting>
  <conditionalFormatting sqref="S56:S58 S64:S66">
    <cfRule type="cellIs" dxfId="1" priority="2" operator="lessThan">
      <formula>T25</formula>
    </cfRule>
  </conditionalFormatting>
  <conditionalFormatting sqref="J13:J14 J18 J22:J25 N22:R22 J29:J30 J36 J40:J44 J47:J48 J52:J54 O56:O59 J58 O64:O67">
    <cfRule type="cellIs" dxfId="0" priority="3" operator="greaterThan">
      <formula>L13</formula>
    </cfRule>
  </conditionalFormatting>
  <conditionalFormatting sqref="J13:J14 J18 J22:J25 N22:R22 J29:J30 J36 J40:J44 J47:J48 J52:J54 O56:O59 J58 O64:O67">
    <cfRule type="cellIs" dxfId="1" priority="4" operator="lessThan">
      <formula>L13</formula>
    </cfRule>
  </conditionalFormatting>
  <conditionalFormatting sqref="J8 L8">
    <cfRule type="cellIs" dxfId="0" priority="5" operator="greaterThan">
      <formula>0</formula>
    </cfRule>
  </conditionalFormatting>
  <conditionalFormatting sqref="J8 L8">
    <cfRule type="cellIs" dxfId="2" priority="6" operator="equal">
      <formula>0</formula>
    </cfRule>
  </conditionalFormatting>
  <conditionalFormatting sqref="J8 L8">
    <cfRule type="cellIs" dxfId="0" priority="7" operator="greaterThanOrEqual">
      <formula>0</formula>
    </cfRule>
  </conditionalFormatting>
  <conditionalFormatting sqref="J8 L8">
    <cfRule type="cellIs" dxfId="1" priority="8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6.88"/>
    <col customWidth="1" min="7" max="7" width="1.88"/>
    <col customWidth="1" min="8" max="8" width="12.0"/>
    <col customWidth="1" min="9" max="9" width="1.88"/>
    <col customWidth="1" min="10" max="10" width="16.88"/>
    <col customWidth="1" min="11" max="11" width="9.75"/>
    <col customWidth="1" min="12" max="12" width="16.88"/>
  </cols>
  <sheetData>
    <row r="1" ht="15.75" customHeight="1">
      <c r="A1" s="129" t="s">
        <v>531</v>
      </c>
      <c r="B1" s="40" t="s">
        <v>363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532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J31</f>
        <v>154916.2676</v>
      </c>
      <c r="K6" s="42"/>
      <c r="L6" s="37">
        <v>127700.0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J58</f>
        <v>159248.1821</v>
      </c>
      <c r="K7" s="42"/>
      <c r="L7" s="37">
        <v>121850.0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-4331.914417</v>
      </c>
      <c r="K8" s="42"/>
      <c r="L8" s="37">
        <v>5850.0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52"/>
      <c r="C11" s="52"/>
      <c r="D11" s="52"/>
      <c r="E11" s="52"/>
      <c r="F11" s="52"/>
      <c r="G11" s="52"/>
      <c r="H11" s="52"/>
      <c r="I11" s="52"/>
      <c r="J11" s="73"/>
      <c r="K11" s="52"/>
      <c r="L11" s="7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3" t="s">
        <v>533</v>
      </c>
      <c r="C12" s="52"/>
      <c r="D12" s="43">
        <v>3.0</v>
      </c>
      <c r="E12" s="52"/>
      <c r="F12" s="52"/>
      <c r="G12" s="52"/>
      <c r="H12" s="52"/>
      <c r="I12" s="52"/>
      <c r="J12" s="73"/>
      <c r="K12" s="52"/>
      <c r="L12" s="7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356</v>
      </c>
      <c r="C13" s="43"/>
      <c r="D13" s="16">
        <f>NARU02!D14</f>
        <v>7500</v>
      </c>
      <c r="E13" s="43"/>
      <c r="F13" s="43"/>
      <c r="G13" s="43"/>
      <c r="H13" s="43"/>
      <c r="I13" s="43"/>
      <c r="J13" s="43"/>
      <c r="K13" s="43"/>
      <c r="L13" s="4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 t="s">
        <v>534</v>
      </c>
      <c r="C14" s="43"/>
      <c r="D14" s="54">
        <v>3.0</v>
      </c>
      <c r="E14" s="43"/>
      <c r="F14" s="43"/>
      <c r="G14" s="43"/>
      <c r="H14" s="43"/>
      <c r="I14" s="43"/>
      <c r="J14" s="43"/>
      <c r="K14" s="43"/>
      <c r="L14" s="4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80">
        <v>3000.0</v>
      </c>
      <c r="B15" s="71" t="s">
        <v>172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516</v>
      </c>
      <c r="C16" s="43"/>
      <c r="D16" s="43"/>
      <c r="F16" s="43"/>
      <c r="H16" s="16"/>
      <c r="I16" s="43"/>
      <c r="J16" s="16">
        <v>2500.0</v>
      </c>
      <c r="K16" s="43"/>
      <c r="L16" s="16">
        <v>2500.0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4" t="s">
        <v>174</v>
      </c>
      <c r="C17" s="43"/>
      <c r="D17" s="43"/>
      <c r="F17" s="43"/>
      <c r="H17" s="16"/>
      <c r="I17" s="43"/>
      <c r="J17" s="59">
        <v>10000.0</v>
      </c>
      <c r="K17" s="43"/>
      <c r="L17" s="59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81" t="s">
        <v>147</v>
      </c>
      <c r="C18" s="81"/>
      <c r="D18" s="81"/>
      <c r="E18" s="81"/>
      <c r="F18" s="81"/>
      <c r="G18" s="81"/>
      <c r="H18" s="81"/>
      <c r="I18" s="81"/>
      <c r="J18" s="82">
        <f>SUM(J16:J17)</f>
        <v>12500</v>
      </c>
      <c r="K18" s="81"/>
      <c r="L18" s="82">
        <v>2500.0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80">
        <v>3010.0</v>
      </c>
      <c r="B20" s="52" t="s">
        <v>517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101</v>
      </c>
      <c r="C21" s="43"/>
      <c r="D21" s="43"/>
      <c r="F21" s="43"/>
      <c r="H21" s="16"/>
      <c r="I21" s="43"/>
      <c r="J21" s="59">
        <v>40000.0</v>
      </c>
      <c r="K21" s="43"/>
      <c r="L21" s="16">
        <v>25000.0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81" t="s">
        <v>147</v>
      </c>
      <c r="C22" s="81"/>
      <c r="D22" s="81"/>
      <c r="E22" s="81"/>
      <c r="F22" s="81"/>
      <c r="G22" s="81"/>
      <c r="H22" s="81"/>
      <c r="I22" s="81"/>
      <c r="J22" s="82">
        <f>SUM(J21)</f>
        <v>40000</v>
      </c>
      <c r="K22" s="81"/>
      <c r="L22" s="82">
        <v>25000.0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52"/>
      <c r="C23" s="52"/>
      <c r="D23" s="52"/>
      <c r="E23" s="52"/>
      <c r="F23" s="52"/>
      <c r="G23" s="52"/>
      <c r="H23" s="52"/>
      <c r="I23" s="52"/>
      <c r="J23" s="73"/>
      <c r="K23" s="52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80" t="s">
        <v>519</v>
      </c>
      <c r="B24" s="52" t="s">
        <v>520</v>
      </c>
      <c r="C24" s="52"/>
      <c r="D24" s="52"/>
      <c r="E24" s="52"/>
      <c r="F24" s="52"/>
      <c r="G24" s="52"/>
      <c r="H24" s="52"/>
      <c r="I24" s="52"/>
      <c r="J24" s="73"/>
      <c r="K24" s="52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521</v>
      </c>
      <c r="D25" s="16"/>
      <c r="F25" s="123">
        <f>Parametrar!$I$33</f>
        <v>1.44</v>
      </c>
      <c r="G25" s="124" t="s">
        <v>118</v>
      </c>
      <c r="H25" s="16">
        <f t="shared" ref="H25:H28" si="1">J38</f>
        <v>35859.14679</v>
      </c>
      <c r="I25" s="62" t="s">
        <v>119</v>
      </c>
      <c r="J25" s="59">
        <f t="shared" ref="J25:J28" si="2">F25*H25</f>
        <v>51637.17137</v>
      </c>
      <c r="L25" s="16">
        <v>53550.0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 t="s">
        <v>522</v>
      </c>
      <c r="D26" s="16"/>
      <c r="F26" s="123">
        <f>Parametrar!$I$34</f>
        <v>1.35</v>
      </c>
      <c r="G26" s="124" t="s">
        <v>118</v>
      </c>
      <c r="H26" s="16">
        <f t="shared" si="1"/>
        <v>15038.37355</v>
      </c>
      <c r="I26" s="62" t="s">
        <v>119</v>
      </c>
      <c r="J26" s="59">
        <f t="shared" si="2"/>
        <v>20301.8043</v>
      </c>
      <c r="L26" s="16">
        <v>9450.0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523</v>
      </c>
      <c r="D27" s="16"/>
      <c r="F27" s="123">
        <f>Parametrar!$I$35</f>
        <v>1.44</v>
      </c>
      <c r="G27" s="124" t="s">
        <v>118</v>
      </c>
      <c r="H27" s="16">
        <f t="shared" si="1"/>
        <v>3134.51957</v>
      </c>
      <c r="I27" s="62" t="s">
        <v>119</v>
      </c>
      <c r="J27" s="59">
        <f t="shared" si="2"/>
        <v>4513.708181</v>
      </c>
      <c r="L27" s="16">
        <v>27000.0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131</v>
      </c>
      <c r="D28" s="16"/>
      <c r="F28" s="123">
        <f>Parametrar!$I$36</f>
        <v>2.7</v>
      </c>
      <c r="G28" s="124" t="s">
        <v>118</v>
      </c>
      <c r="H28" s="16">
        <f t="shared" si="1"/>
        <v>9616.142142</v>
      </c>
      <c r="I28" s="62" t="s">
        <v>119</v>
      </c>
      <c r="J28" s="59">
        <f t="shared" si="2"/>
        <v>25963.58378</v>
      </c>
      <c r="L28" s="16">
        <v>2700.0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SUM(J25:J28)</f>
        <v>102416.2676</v>
      </c>
      <c r="K29" s="81"/>
      <c r="L29" s="82">
        <v>92700.0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7"/>
      <c r="B31" s="47" t="s">
        <v>3</v>
      </c>
      <c r="C31" s="47"/>
      <c r="D31" s="47"/>
      <c r="E31" s="47"/>
      <c r="F31" s="47"/>
      <c r="G31" s="47"/>
      <c r="H31" s="47"/>
      <c r="I31" s="47"/>
      <c r="J31" s="93">
        <f>SUM(J11:J30)/2</f>
        <v>154916.2676</v>
      </c>
      <c r="K31" s="47"/>
      <c r="L31" s="93">
        <v>127700.0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  <c r="Z31" s="49"/>
    </row>
    <row r="32" ht="15.75" customHeight="1">
      <c r="A32" s="113"/>
      <c r="B32" s="52"/>
      <c r="C32" s="52"/>
      <c r="D32" s="52"/>
      <c r="E32" s="52"/>
      <c r="F32" s="52"/>
      <c r="G32" s="52"/>
      <c r="H32" s="52"/>
      <c r="I32" s="52"/>
      <c r="J32" s="73"/>
      <c r="K32" s="52"/>
      <c r="L32" s="7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80">
        <v>4000.0</v>
      </c>
      <c r="B33" s="52" t="s">
        <v>176</v>
      </c>
      <c r="C33" s="52"/>
      <c r="D33" s="52"/>
      <c r="E33" s="52"/>
      <c r="F33" s="52"/>
      <c r="G33" s="52"/>
      <c r="H33" s="52"/>
      <c r="I33" s="52"/>
      <c r="J33" s="73"/>
      <c r="K33" s="52"/>
      <c r="L33" s="7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125"/>
      <c r="B34" s="43" t="s">
        <v>174</v>
      </c>
      <c r="H34" s="16"/>
      <c r="I34" s="43"/>
      <c r="J34" s="59">
        <v>10000.0</v>
      </c>
      <c r="K34" s="16"/>
      <c r="L34" s="16">
        <v>5000.0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81" t="s">
        <v>147</v>
      </c>
      <c r="C35" s="81"/>
      <c r="D35" s="81"/>
      <c r="E35" s="81"/>
      <c r="F35" s="81"/>
      <c r="G35" s="81"/>
      <c r="H35" s="81"/>
      <c r="I35" s="81"/>
      <c r="J35" s="82">
        <f>SUM(J34)</f>
        <v>10000</v>
      </c>
      <c r="K35" s="81"/>
      <c r="L35" s="82">
        <v>5000.0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52"/>
      <c r="C36" s="43"/>
      <c r="D36" s="43"/>
      <c r="E36" s="43"/>
      <c r="F36" s="43"/>
      <c r="G36" s="43"/>
      <c r="H36" s="43"/>
      <c r="I36" s="43"/>
      <c r="J36" s="73"/>
      <c r="K36" s="43"/>
      <c r="L36" s="7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80" t="s">
        <v>526</v>
      </c>
      <c r="B37" s="52" t="s">
        <v>527</v>
      </c>
      <c r="D37" s="43"/>
      <c r="F37" s="43"/>
      <c r="I37" s="43"/>
      <c r="J37" s="16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 t="s">
        <v>521</v>
      </c>
      <c r="D38" s="16"/>
      <c r="E38" s="43"/>
      <c r="F38" s="123">
        <f>Parametrar!$I$46</f>
        <v>0.3273647948</v>
      </c>
      <c r="G38" s="54" t="s">
        <v>118</v>
      </c>
      <c r="H38" s="59">
        <f>Parametrar!$I$23</f>
        <v>109538.8</v>
      </c>
      <c r="I38" s="62" t="s">
        <v>119</v>
      </c>
      <c r="J38" s="59">
        <f t="shared" ref="J38:J41" si="3">F38*H38</f>
        <v>35859.14679</v>
      </c>
      <c r="K38" s="16"/>
      <c r="L38" s="59">
        <v>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522</v>
      </c>
      <c r="D39" s="59"/>
      <c r="E39" s="43"/>
      <c r="F39" s="123">
        <f>Parametrar!$I$47</f>
        <v>0.3287120733</v>
      </c>
      <c r="G39" s="54" t="s">
        <v>118</v>
      </c>
      <c r="H39" s="59">
        <f>Parametrar!$I$24</f>
        <v>45749.38</v>
      </c>
      <c r="I39" s="62" t="s">
        <v>119</v>
      </c>
      <c r="J39" s="59">
        <f t="shared" si="3"/>
        <v>15038.37355</v>
      </c>
      <c r="L39" s="59">
        <v>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523</v>
      </c>
      <c r="C40" s="43"/>
      <c r="D40" s="16"/>
      <c r="E40" s="43"/>
      <c r="F40" s="123">
        <f>Parametrar!$I$48</f>
        <v>0.03671139159</v>
      </c>
      <c r="G40" s="54" t="s">
        <v>118</v>
      </c>
      <c r="H40" s="59">
        <f>Parametrar!$I$25</f>
        <v>85382.75</v>
      </c>
      <c r="I40" s="62" t="s">
        <v>119</v>
      </c>
      <c r="J40" s="59">
        <f t="shared" si="3"/>
        <v>3134.51957</v>
      </c>
      <c r="K40" s="43"/>
      <c r="L40" s="59">
        <v>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131</v>
      </c>
      <c r="C41" s="43"/>
      <c r="D41" s="16"/>
      <c r="E41" s="43"/>
      <c r="F41" s="123">
        <f>Parametrar!$I$49</f>
        <v>0.1017942037</v>
      </c>
      <c r="G41" s="54" t="s">
        <v>118</v>
      </c>
      <c r="H41" s="59">
        <f>Parametrar!$I$26</f>
        <v>94466.5</v>
      </c>
      <c r="I41" s="62" t="s">
        <v>119</v>
      </c>
      <c r="J41" s="59">
        <f t="shared" si="3"/>
        <v>9616.142142</v>
      </c>
      <c r="K41" s="43"/>
      <c r="L41" s="59">
        <v>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81" t="s">
        <v>147</v>
      </c>
      <c r="C42" s="81"/>
      <c r="D42" s="81"/>
      <c r="E42" s="81"/>
      <c r="F42" s="81"/>
      <c r="G42" s="81"/>
      <c r="H42" s="81"/>
      <c r="I42" s="81"/>
      <c r="J42" s="82">
        <f>SUM(J38:J41)</f>
        <v>63648.18205</v>
      </c>
      <c r="K42" s="81"/>
      <c r="L42" s="126">
        <v>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52"/>
      <c r="C43" s="43"/>
      <c r="D43" s="43"/>
      <c r="E43" s="43"/>
      <c r="F43" s="43"/>
      <c r="G43" s="43"/>
      <c r="H43" s="43"/>
      <c r="I43" s="43"/>
      <c r="J43" s="73"/>
      <c r="K43" s="43"/>
      <c r="L43" s="7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80">
        <v>4101.0</v>
      </c>
      <c r="B44" s="52" t="s">
        <v>255</v>
      </c>
      <c r="C44" s="52"/>
      <c r="D44" s="52"/>
      <c r="E44" s="52"/>
      <c r="F44" s="52"/>
      <c r="G44" s="52"/>
      <c r="H44" s="52"/>
      <c r="I44" s="52"/>
      <c r="J44" s="73"/>
      <c r="K44" s="52"/>
      <c r="L44" s="7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 t="s">
        <v>516</v>
      </c>
      <c r="D45" s="43"/>
      <c r="F45" s="43"/>
      <c r="H45" s="16"/>
      <c r="I45" s="43"/>
      <c r="J45" s="59">
        <v>2500.0</v>
      </c>
      <c r="L45" s="16">
        <v>5000.0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 t="s">
        <v>528</v>
      </c>
      <c r="D46" s="43"/>
      <c r="F46" s="43"/>
      <c r="H46" s="16"/>
      <c r="I46" s="43"/>
      <c r="J46" s="59">
        <v>5000.0</v>
      </c>
      <c r="L46" s="16">
        <v>14000.0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 t="s">
        <v>101</v>
      </c>
      <c r="D47" s="16">
        <f>D13</f>
        <v>7500</v>
      </c>
      <c r="E47" s="124" t="s">
        <v>118</v>
      </c>
      <c r="F47" s="43">
        <f>D14</f>
        <v>3</v>
      </c>
      <c r="G47" s="130" t="s">
        <v>535</v>
      </c>
      <c r="H47" s="59">
        <v>40000.0</v>
      </c>
      <c r="I47" s="62" t="s">
        <v>119</v>
      </c>
      <c r="J47" s="131">
        <f>H47+F47*D47</f>
        <v>62500</v>
      </c>
      <c r="L47" s="16">
        <v>37500.0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81" t="s">
        <v>147</v>
      </c>
      <c r="C48" s="81"/>
      <c r="D48" s="81"/>
      <c r="E48" s="81"/>
      <c r="F48" s="81"/>
      <c r="G48" s="81"/>
      <c r="H48" s="81"/>
      <c r="I48" s="81"/>
      <c r="J48" s="82">
        <f>SUM(J45:J47)</f>
        <v>70000</v>
      </c>
      <c r="K48" s="81"/>
      <c r="L48" s="82">
        <v>56500.0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52"/>
      <c r="C49" s="52"/>
      <c r="D49" s="52"/>
      <c r="E49" s="52"/>
      <c r="F49" s="52"/>
      <c r="G49" s="52"/>
      <c r="H49" s="52"/>
      <c r="I49" s="52"/>
      <c r="J49" s="73"/>
      <c r="K49" s="52"/>
      <c r="L49" s="7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80">
        <v>4310.0</v>
      </c>
      <c r="B50" s="52" t="s">
        <v>177</v>
      </c>
      <c r="C50" s="52"/>
      <c r="D50" s="52"/>
      <c r="E50" s="52"/>
      <c r="F50" s="52"/>
      <c r="G50" s="52"/>
      <c r="H50" s="52"/>
      <c r="I50" s="52"/>
      <c r="J50" s="73"/>
      <c r="K50" s="52"/>
      <c r="L50" s="7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 t="s">
        <v>530</v>
      </c>
      <c r="D51" s="43"/>
      <c r="F51" s="43"/>
      <c r="H51" s="16"/>
      <c r="I51" s="43"/>
      <c r="J51" s="16">
        <v>6000.0</v>
      </c>
      <c r="L51" s="16">
        <v>6000.0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81" t="s">
        <v>147</v>
      </c>
      <c r="C52" s="81"/>
      <c r="D52" s="81"/>
      <c r="E52" s="81"/>
      <c r="F52" s="81"/>
      <c r="G52" s="81"/>
      <c r="H52" s="81"/>
      <c r="I52" s="81"/>
      <c r="J52" s="82">
        <f>SUM(J51)</f>
        <v>6000</v>
      </c>
      <c r="K52" s="81"/>
      <c r="L52" s="82">
        <v>6000.0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80">
        <v>6950.0</v>
      </c>
      <c r="B54" s="52" t="s">
        <v>466</v>
      </c>
      <c r="C54" s="52"/>
      <c r="D54" s="52"/>
      <c r="E54" s="52"/>
      <c r="F54" s="52"/>
      <c r="G54" s="52"/>
      <c r="H54" s="52"/>
      <c r="I54" s="52"/>
      <c r="J54" s="73"/>
      <c r="K54" s="52"/>
      <c r="L54" s="7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125"/>
      <c r="B55" s="43" t="s">
        <v>192</v>
      </c>
      <c r="F55" s="43">
        <f>D12+D14</f>
        <v>6</v>
      </c>
      <c r="G55" s="43" t="s">
        <v>155</v>
      </c>
      <c r="H55" s="16">
        <v>1600.0</v>
      </c>
      <c r="I55" s="84" t="s">
        <v>119</v>
      </c>
      <c r="J55" s="16">
        <f>F55*H55</f>
        <v>9600</v>
      </c>
      <c r="L55" s="16">
        <v>11200.0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81" t="s">
        <v>147</v>
      </c>
      <c r="C56" s="81"/>
      <c r="D56" s="81"/>
      <c r="E56" s="81"/>
      <c r="F56" s="81"/>
      <c r="G56" s="81"/>
      <c r="H56" s="81"/>
      <c r="I56" s="81"/>
      <c r="J56" s="82">
        <f>SUM(J55)</f>
        <v>9600</v>
      </c>
      <c r="K56" s="81"/>
      <c r="L56" s="82">
        <v>11200.0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7"/>
      <c r="B58" s="47" t="s">
        <v>4</v>
      </c>
      <c r="C58" s="47"/>
      <c r="D58" s="47"/>
      <c r="E58" s="47"/>
      <c r="F58" s="47"/>
      <c r="G58" s="47"/>
      <c r="H58" s="47"/>
      <c r="I58" s="47"/>
      <c r="J58" s="57">
        <f>SUM(J33:J57)/2</f>
        <v>159248.1821</v>
      </c>
      <c r="K58" s="47"/>
      <c r="L58" s="57">
        <v>121850.0</v>
      </c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16"/>
      <c r="K59" s="43"/>
      <c r="L59" s="16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7"/>
      <c r="B60" s="47" t="s">
        <v>5</v>
      </c>
      <c r="C60" s="47"/>
      <c r="D60" s="47"/>
      <c r="E60" s="47"/>
      <c r="F60" s="47"/>
      <c r="G60" s="47"/>
      <c r="H60" s="47"/>
      <c r="I60" s="47"/>
      <c r="J60" s="57">
        <f>J31-J58</f>
        <v>-4331.914417</v>
      </c>
      <c r="K60" s="47"/>
      <c r="L60" s="57">
        <v>5850.0</v>
      </c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49"/>
      <c r="Z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9"/>
      <c r="G197" s="49"/>
      <c r="H197" s="49"/>
      <c r="I197" s="49"/>
      <c r="J197" s="49"/>
      <c r="K197" s="49"/>
      <c r="L197" s="99"/>
      <c r="M197" s="49"/>
      <c r="N197" s="49"/>
      <c r="O197" s="49"/>
      <c r="P197" s="49"/>
      <c r="Q197" s="49"/>
      <c r="R197" s="49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9"/>
      <c r="G198" s="49"/>
      <c r="H198" s="49"/>
      <c r="I198" s="49"/>
      <c r="J198" s="49"/>
      <c r="K198" s="49"/>
      <c r="L198" s="99"/>
      <c r="M198" s="49"/>
      <c r="N198" s="49"/>
      <c r="O198" s="49"/>
      <c r="P198" s="49"/>
      <c r="Q198" s="49"/>
      <c r="R198" s="49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9"/>
      <c r="G199" s="49"/>
      <c r="H199" s="49"/>
      <c r="I199" s="49"/>
      <c r="J199" s="49"/>
      <c r="K199" s="49"/>
      <c r="L199" s="99"/>
      <c r="M199" s="49"/>
      <c r="N199" s="49"/>
      <c r="O199" s="49"/>
      <c r="P199" s="49"/>
      <c r="Q199" s="49"/>
      <c r="R199" s="49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9"/>
      <c r="G200" s="49"/>
      <c r="H200" s="49"/>
      <c r="I200" s="49"/>
      <c r="J200" s="49"/>
      <c r="K200" s="49"/>
      <c r="L200" s="99"/>
      <c r="M200" s="49"/>
      <c r="N200" s="49"/>
      <c r="O200" s="49"/>
      <c r="P200" s="49"/>
      <c r="Q200" s="49"/>
      <c r="R200" s="49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9"/>
      <c r="G201" s="49"/>
      <c r="H201" s="49"/>
      <c r="I201" s="49"/>
      <c r="J201" s="49"/>
      <c r="K201" s="49"/>
      <c r="L201" s="99"/>
      <c r="M201" s="49"/>
      <c r="N201" s="49"/>
      <c r="O201" s="49"/>
      <c r="P201" s="49"/>
      <c r="Q201" s="49"/>
      <c r="R201" s="49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9"/>
      <c r="G202" s="49"/>
      <c r="H202" s="49"/>
      <c r="I202" s="49"/>
      <c r="J202" s="49"/>
      <c r="K202" s="49"/>
      <c r="L202" s="99"/>
      <c r="M202" s="49"/>
      <c r="N202" s="49"/>
      <c r="O202" s="49"/>
      <c r="P202" s="49"/>
      <c r="Q202" s="49"/>
      <c r="R202" s="49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9"/>
      <c r="G203" s="49"/>
      <c r="H203" s="49"/>
      <c r="I203" s="49"/>
      <c r="J203" s="49"/>
      <c r="K203" s="49"/>
      <c r="L203" s="99"/>
      <c r="M203" s="49"/>
      <c r="N203" s="49"/>
      <c r="O203" s="49"/>
      <c r="P203" s="49"/>
      <c r="Q203" s="49"/>
      <c r="R203" s="49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9"/>
      <c r="G204" s="49"/>
      <c r="H204" s="49"/>
      <c r="I204" s="49"/>
      <c r="J204" s="49"/>
      <c r="K204" s="49"/>
      <c r="L204" s="99"/>
      <c r="M204" s="49"/>
      <c r="N204" s="49"/>
      <c r="O204" s="49"/>
      <c r="P204" s="49"/>
      <c r="Q204" s="49"/>
      <c r="R204" s="49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9"/>
      <c r="G205" s="49"/>
      <c r="H205" s="49"/>
      <c r="I205" s="49"/>
      <c r="J205" s="49"/>
      <c r="K205" s="49"/>
      <c r="L205" s="99"/>
      <c r="M205" s="49"/>
      <c r="N205" s="49"/>
      <c r="O205" s="49"/>
      <c r="P205" s="49"/>
      <c r="Q205" s="49"/>
      <c r="R205" s="49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9"/>
      <c r="G206" s="49"/>
      <c r="H206" s="49"/>
      <c r="I206" s="49"/>
      <c r="J206" s="49"/>
      <c r="K206" s="49"/>
      <c r="L206" s="99"/>
      <c r="M206" s="49"/>
      <c r="N206" s="49"/>
      <c r="O206" s="49"/>
      <c r="P206" s="49"/>
      <c r="Q206" s="49"/>
      <c r="R206" s="49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9"/>
      <c r="G207" s="49"/>
      <c r="H207" s="49"/>
      <c r="I207" s="49"/>
      <c r="J207" s="49"/>
      <c r="K207" s="49"/>
      <c r="L207" s="99"/>
      <c r="M207" s="49"/>
      <c r="N207" s="49"/>
      <c r="O207" s="49"/>
      <c r="P207" s="49"/>
      <c r="Q207" s="49"/>
      <c r="R207" s="49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9"/>
      <c r="G208" s="49"/>
      <c r="H208" s="49"/>
      <c r="I208" s="49"/>
      <c r="J208" s="49"/>
      <c r="K208" s="49"/>
      <c r="L208" s="99"/>
      <c r="M208" s="49"/>
      <c r="N208" s="49"/>
      <c r="O208" s="49"/>
      <c r="P208" s="49"/>
      <c r="Q208" s="49"/>
      <c r="R208" s="49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9"/>
      <c r="G209" s="49"/>
      <c r="H209" s="49"/>
      <c r="I209" s="49"/>
      <c r="J209" s="49"/>
      <c r="K209" s="49"/>
      <c r="L209" s="99"/>
      <c r="M209" s="49"/>
      <c r="N209" s="49"/>
      <c r="O209" s="49"/>
      <c r="P209" s="49"/>
      <c r="Q209" s="49"/>
      <c r="R209" s="49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9"/>
      <c r="G210" s="49"/>
      <c r="H210" s="49"/>
      <c r="I210" s="49"/>
      <c r="J210" s="49"/>
      <c r="K210" s="49"/>
      <c r="L210" s="99"/>
      <c r="M210" s="49"/>
      <c r="N210" s="49"/>
      <c r="O210" s="49"/>
      <c r="P210" s="49"/>
      <c r="Q210" s="49"/>
      <c r="R210" s="49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9"/>
      <c r="G211" s="49"/>
      <c r="H211" s="49"/>
      <c r="I211" s="49"/>
      <c r="J211" s="49"/>
      <c r="K211" s="49"/>
      <c r="L211" s="99"/>
      <c r="M211" s="49"/>
      <c r="N211" s="49"/>
      <c r="O211" s="49"/>
      <c r="P211" s="49"/>
      <c r="Q211" s="49"/>
      <c r="R211" s="49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9"/>
      <c r="G212" s="49"/>
      <c r="H212" s="49"/>
      <c r="I212" s="49"/>
      <c r="J212" s="49"/>
      <c r="K212" s="49"/>
      <c r="L212" s="99"/>
      <c r="M212" s="49"/>
      <c r="N212" s="49"/>
      <c r="O212" s="49"/>
      <c r="P212" s="49"/>
      <c r="Q212" s="49"/>
      <c r="R212" s="49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9"/>
      <c r="G213" s="49"/>
      <c r="H213" s="49"/>
      <c r="I213" s="49"/>
      <c r="J213" s="49"/>
      <c r="K213" s="49"/>
      <c r="L213" s="99"/>
      <c r="M213" s="49"/>
      <c r="N213" s="49"/>
      <c r="O213" s="49"/>
      <c r="P213" s="49"/>
      <c r="Q213" s="49"/>
      <c r="R213" s="49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9"/>
      <c r="G214" s="49"/>
      <c r="H214" s="49"/>
      <c r="I214" s="49"/>
      <c r="J214" s="49"/>
      <c r="K214" s="49"/>
      <c r="L214" s="99"/>
      <c r="M214" s="49"/>
      <c r="N214" s="49"/>
      <c r="O214" s="49"/>
      <c r="P214" s="49"/>
      <c r="Q214" s="49"/>
      <c r="R214" s="49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9"/>
      <c r="G215" s="49"/>
      <c r="H215" s="49"/>
      <c r="I215" s="49"/>
      <c r="J215" s="49"/>
      <c r="K215" s="49"/>
      <c r="L215" s="99"/>
      <c r="M215" s="49"/>
      <c r="N215" s="49"/>
      <c r="O215" s="49"/>
      <c r="P215" s="49"/>
      <c r="Q215" s="49"/>
      <c r="R215" s="49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9"/>
      <c r="G216" s="49"/>
      <c r="H216" s="49"/>
      <c r="I216" s="49"/>
      <c r="J216" s="49"/>
      <c r="K216" s="49"/>
      <c r="L216" s="99"/>
      <c r="M216" s="49"/>
      <c r="N216" s="49"/>
      <c r="O216" s="49"/>
      <c r="P216" s="49"/>
      <c r="Q216" s="49"/>
      <c r="R216" s="49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9"/>
      <c r="G217" s="49"/>
      <c r="H217" s="49"/>
      <c r="I217" s="49"/>
      <c r="J217" s="49"/>
      <c r="K217" s="49"/>
      <c r="L217" s="99"/>
      <c r="M217" s="49"/>
      <c r="N217" s="49"/>
      <c r="O217" s="49"/>
      <c r="P217" s="49"/>
      <c r="Q217" s="49"/>
      <c r="R217" s="49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9"/>
      <c r="G218" s="49"/>
      <c r="H218" s="49"/>
      <c r="I218" s="49"/>
      <c r="J218" s="49"/>
      <c r="K218" s="49"/>
      <c r="L218" s="99"/>
      <c r="M218" s="49"/>
      <c r="N218" s="49"/>
      <c r="O218" s="49"/>
      <c r="P218" s="49"/>
      <c r="Q218" s="49"/>
      <c r="R218" s="49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9"/>
      <c r="G219" s="49"/>
      <c r="H219" s="49"/>
      <c r="I219" s="49"/>
      <c r="J219" s="49"/>
      <c r="K219" s="49"/>
      <c r="L219" s="99"/>
      <c r="M219" s="49"/>
      <c r="N219" s="49"/>
      <c r="O219" s="49"/>
      <c r="P219" s="49"/>
      <c r="Q219" s="49"/>
      <c r="R219" s="49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9"/>
      <c r="G220" s="49"/>
      <c r="H220" s="49"/>
      <c r="I220" s="49"/>
      <c r="J220" s="49"/>
      <c r="K220" s="49"/>
      <c r="L220" s="99"/>
      <c r="M220" s="49"/>
      <c r="N220" s="49"/>
      <c r="O220" s="49"/>
      <c r="P220" s="49"/>
      <c r="Q220" s="49"/>
      <c r="R220" s="49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9"/>
      <c r="G221" s="49"/>
      <c r="H221" s="49"/>
      <c r="I221" s="49"/>
      <c r="J221" s="49"/>
      <c r="K221" s="49"/>
      <c r="L221" s="99"/>
      <c r="M221" s="49"/>
      <c r="N221" s="49"/>
      <c r="O221" s="49"/>
      <c r="P221" s="49"/>
      <c r="Q221" s="49"/>
      <c r="R221" s="49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9"/>
      <c r="G222" s="49"/>
      <c r="H222" s="49"/>
      <c r="I222" s="49"/>
      <c r="J222" s="49"/>
      <c r="K222" s="49"/>
      <c r="L222" s="99"/>
      <c r="M222" s="49"/>
      <c r="N222" s="49"/>
      <c r="O222" s="49"/>
      <c r="P222" s="49"/>
      <c r="Q222" s="49"/>
      <c r="R222" s="49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9"/>
      <c r="G223" s="49"/>
      <c r="H223" s="49"/>
      <c r="I223" s="49"/>
      <c r="J223" s="49"/>
      <c r="K223" s="49"/>
      <c r="L223" s="99"/>
      <c r="M223" s="49"/>
      <c r="N223" s="49"/>
      <c r="O223" s="49"/>
      <c r="P223" s="49"/>
      <c r="Q223" s="49"/>
      <c r="R223" s="49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9"/>
      <c r="G224" s="49"/>
      <c r="H224" s="49"/>
      <c r="I224" s="49"/>
      <c r="J224" s="49"/>
      <c r="K224" s="49"/>
      <c r="L224" s="99"/>
      <c r="M224" s="49"/>
      <c r="N224" s="49"/>
      <c r="O224" s="49"/>
      <c r="P224" s="49"/>
      <c r="Q224" s="49"/>
      <c r="R224" s="49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9"/>
      <c r="G225" s="49"/>
      <c r="H225" s="49"/>
      <c r="I225" s="49"/>
      <c r="J225" s="49"/>
      <c r="K225" s="49"/>
      <c r="L225" s="99"/>
      <c r="M225" s="49"/>
      <c r="N225" s="49"/>
      <c r="O225" s="49"/>
      <c r="P225" s="49"/>
      <c r="Q225" s="49"/>
      <c r="R225" s="49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9"/>
      <c r="G226" s="49"/>
      <c r="H226" s="49"/>
      <c r="I226" s="49"/>
      <c r="J226" s="49"/>
      <c r="K226" s="49"/>
      <c r="L226" s="99"/>
      <c r="M226" s="49"/>
      <c r="N226" s="49"/>
      <c r="O226" s="49"/>
      <c r="P226" s="49"/>
      <c r="Q226" s="49"/>
      <c r="R226" s="49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9"/>
      <c r="G227" s="49"/>
      <c r="H227" s="49"/>
      <c r="I227" s="49"/>
      <c r="J227" s="49"/>
      <c r="K227" s="49"/>
      <c r="L227" s="99"/>
      <c r="M227" s="49"/>
      <c r="N227" s="49"/>
      <c r="O227" s="49"/>
      <c r="P227" s="49"/>
      <c r="Q227" s="49"/>
      <c r="R227" s="49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9"/>
      <c r="G228" s="49"/>
      <c r="H228" s="49"/>
      <c r="I228" s="49"/>
      <c r="J228" s="49"/>
      <c r="K228" s="49"/>
      <c r="L228" s="99"/>
      <c r="M228" s="49"/>
      <c r="N228" s="49"/>
      <c r="O228" s="49"/>
      <c r="P228" s="49"/>
      <c r="Q228" s="49"/>
      <c r="R228" s="49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9"/>
      <c r="G229" s="49"/>
      <c r="H229" s="49"/>
      <c r="I229" s="49"/>
      <c r="J229" s="49"/>
      <c r="K229" s="49"/>
      <c r="L229" s="99"/>
      <c r="M229" s="49"/>
      <c r="N229" s="49"/>
      <c r="O229" s="49"/>
      <c r="P229" s="49"/>
      <c r="Q229" s="49"/>
      <c r="R229" s="49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9"/>
      <c r="G230" s="49"/>
      <c r="H230" s="49"/>
      <c r="I230" s="49"/>
      <c r="J230" s="49"/>
      <c r="K230" s="49"/>
      <c r="L230" s="99"/>
      <c r="M230" s="49"/>
      <c r="N230" s="49"/>
      <c r="O230" s="49"/>
      <c r="P230" s="49"/>
      <c r="Q230" s="49"/>
      <c r="R230" s="49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9"/>
      <c r="G231" s="49"/>
      <c r="H231" s="49"/>
      <c r="I231" s="49"/>
      <c r="J231" s="49"/>
      <c r="K231" s="49"/>
      <c r="L231" s="99"/>
      <c r="M231" s="49"/>
      <c r="N231" s="49"/>
      <c r="O231" s="49"/>
      <c r="P231" s="49"/>
      <c r="Q231" s="49"/>
      <c r="R231" s="49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9"/>
      <c r="G232" s="49"/>
      <c r="H232" s="49"/>
      <c r="I232" s="49"/>
      <c r="J232" s="49"/>
      <c r="K232" s="49"/>
      <c r="L232" s="99"/>
      <c r="M232" s="49"/>
      <c r="N232" s="49"/>
      <c r="O232" s="49"/>
      <c r="P232" s="49"/>
      <c r="Q232" s="49"/>
      <c r="R232" s="49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9"/>
      <c r="G233" s="49"/>
      <c r="H233" s="49"/>
      <c r="I233" s="49"/>
      <c r="J233" s="49"/>
      <c r="K233" s="49"/>
      <c r="L233" s="99"/>
      <c r="M233" s="49"/>
      <c r="N233" s="49"/>
      <c r="O233" s="49"/>
      <c r="P233" s="49"/>
      <c r="Q233" s="49"/>
      <c r="R233" s="49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9"/>
      <c r="G234" s="49"/>
      <c r="H234" s="49"/>
      <c r="I234" s="49"/>
      <c r="J234" s="49"/>
      <c r="K234" s="49"/>
      <c r="L234" s="99"/>
      <c r="M234" s="49"/>
      <c r="N234" s="49"/>
      <c r="O234" s="49"/>
      <c r="P234" s="49"/>
      <c r="Q234" s="49"/>
      <c r="R234" s="49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9"/>
      <c r="G235" s="49"/>
      <c r="H235" s="49"/>
      <c r="I235" s="49"/>
      <c r="J235" s="49"/>
      <c r="K235" s="49"/>
      <c r="L235" s="99"/>
      <c r="M235" s="49"/>
      <c r="N235" s="49"/>
      <c r="O235" s="49"/>
      <c r="P235" s="49"/>
      <c r="Q235" s="49"/>
      <c r="R235" s="49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9"/>
      <c r="G236" s="49"/>
      <c r="H236" s="49"/>
      <c r="I236" s="49"/>
      <c r="J236" s="49"/>
      <c r="K236" s="49"/>
      <c r="L236" s="99"/>
      <c r="M236" s="49"/>
      <c r="N236" s="49"/>
      <c r="O236" s="49"/>
      <c r="P236" s="49"/>
      <c r="Q236" s="49"/>
      <c r="R236" s="49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9"/>
      <c r="G237" s="49"/>
      <c r="H237" s="49"/>
      <c r="I237" s="49"/>
      <c r="J237" s="49"/>
      <c r="K237" s="49"/>
      <c r="L237" s="99"/>
      <c r="M237" s="49"/>
      <c r="N237" s="49"/>
      <c r="O237" s="49"/>
      <c r="P237" s="49"/>
      <c r="Q237" s="49"/>
      <c r="R237" s="49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9"/>
      <c r="G238" s="49"/>
      <c r="H238" s="49"/>
      <c r="I238" s="49"/>
      <c r="J238" s="49"/>
      <c r="K238" s="49"/>
      <c r="L238" s="99"/>
      <c r="M238" s="49"/>
      <c r="N238" s="49"/>
      <c r="O238" s="49"/>
      <c r="P238" s="49"/>
      <c r="Q238" s="49"/>
      <c r="R238" s="49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9"/>
      <c r="G239" s="49"/>
      <c r="H239" s="49"/>
      <c r="I239" s="49"/>
      <c r="J239" s="49"/>
      <c r="K239" s="49"/>
      <c r="L239" s="99"/>
      <c r="M239" s="49"/>
      <c r="N239" s="49"/>
      <c r="O239" s="49"/>
      <c r="P239" s="49"/>
      <c r="Q239" s="49"/>
      <c r="R239" s="49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9"/>
      <c r="G240" s="49"/>
      <c r="H240" s="49"/>
      <c r="I240" s="49"/>
      <c r="J240" s="49"/>
      <c r="K240" s="49"/>
      <c r="L240" s="99"/>
      <c r="M240" s="49"/>
      <c r="N240" s="49"/>
      <c r="O240" s="49"/>
      <c r="P240" s="49"/>
      <c r="Q240" s="49"/>
      <c r="R240" s="49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9"/>
      <c r="G241" s="49"/>
      <c r="H241" s="49"/>
      <c r="I241" s="49"/>
      <c r="J241" s="49"/>
      <c r="K241" s="49"/>
      <c r="L241" s="99"/>
      <c r="M241" s="49"/>
      <c r="N241" s="49"/>
      <c r="O241" s="49"/>
      <c r="P241" s="49"/>
      <c r="Q241" s="49"/>
      <c r="R241" s="49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9"/>
      <c r="G242" s="49"/>
      <c r="H242" s="49"/>
      <c r="I242" s="49"/>
      <c r="J242" s="49"/>
      <c r="K242" s="49"/>
      <c r="L242" s="99"/>
      <c r="M242" s="49"/>
      <c r="N242" s="49"/>
      <c r="O242" s="49"/>
      <c r="P242" s="49"/>
      <c r="Q242" s="49"/>
      <c r="R242" s="49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9"/>
      <c r="G243" s="49"/>
      <c r="H243" s="49"/>
      <c r="I243" s="49"/>
      <c r="J243" s="49"/>
      <c r="K243" s="49"/>
      <c r="L243" s="99"/>
      <c r="M243" s="49"/>
      <c r="N243" s="49"/>
      <c r="O243" s="49"/>
      <c r="P243" s="49"/>
      <c r="Q243" s="49"/>
      <c r="R243" s="49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9"/>
      <c r="G244" s="49"/>
      <c r="H244" s="49"/>
      <c r="I244" s="49"/>
      <c r="J244" s="49"/>
      <c r="K244" s="49"/>
      <c r="L244" s="99"/>
      <c r="M244" s="49"/>
      <c r="N244" s="49"/>
      <c r="O244" s="49"/>
      <c r="P244" s="49"/>
      <c r="Q244" s="49"/>
      <c r="R244" s="49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9"/>
      <c r="G245" s="49"/>
      <c r="H245" s="49"/>
      <c r="I245" s="49"/>
      <c r="J245" s="49"/>
      <c r="K245" s="49"/>
      <c r="L245" s="99"/>
      <c r="M245" s="49"/>
      <c r="N245" s="49"/>
      <c r="O245" s="49"/>
      <c r="P245" s="49"/>
      <c r="Q245" s="49"/>
      <c r="R245" s="49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9"/>
      <c r="G246" s="49"/>
      <c r="H246" s="49"/>
      <c r="I246" s="49"/>
      <c r="J246" s="49"/>
      <c r="K246" s="49"/>
      <c r="L246" s="99"/>
      <c r="M246" s="49"/>
      <c r="N246" s="49"/>
      <c r="O246" s="49"/>
      <c r="P246" s="49"/>
      <c r="Q246" s="49"/>
      <c r="R246" s="49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9"/>
      <c r="G247" s="49"/>
      <c r="H247" s="49"/>
      <c r="I247" s="49"/>
      <c r="J247" s="49"/>
      <c r="K247" s="49"/>
      <c r="L247" s="99"/>
      <c r="M247" s="49"/>
      <c r="N247" s="49"/>
      <c r="O247" s="49"/>
      <c r="P247" s="49"/>
      <c r="Q247" s="49"/>
      <c r="R247" s="49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9"/>
      <c r="G248" s="49"/>
      <c r="H248" s="49"/>
      <c r="I248" s="49"/>
      <c r="J248" s="49"/>
      <c r="K248" s="49"/>
      <c r="L248" s="99"/>
      <c r="M248" s="49"/>
      <c r="N248" s="49"/>
      <c r="O248" s="49"/>
      <c r="P248" s="49"/>
      <c r="Q248" s="49"/>
      <c r="R248" s="49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9"/>
      <c r="G249" s="49"/>
      <c r="H249" s="49"/>
      <c r="I249" s="49"/>
      <c r="J249" s="49"/>
      <c r="K249" s="49"/>
      <c r="L249" s="99"/>
      <c r="M249" s="49"/>
      <c r="N249" s="49"/>
      <c r="O249" s="49"/>
      <c r="P249" s="49"/>
      <c r="Q249" s="49"/>
      <c r="R249" s="49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9"/>
      <c r="G250" s="49"/>
      <c r="H250" s="49"/>
      <c r="I250" s="49"/>
      <c r="J250" s="49"/>
      <c r="K250" s="49"/>
      <c r="L250" s="99"/>
      <c r="M250" s="49"/>
      <c r="N250" s="49"/>
      <c r="O250" s="49"/>
      <c r="P250" s="49"/>
      <c r="Q250" s="49"/>
      <c r="R250" s="49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9"/>
      <c r="G251" s="49"/>
      <c r="H251" s="49"/>
      <c r="I251" s="49"/>
      <c r="J251" s="49"/>
      <c r="K251" s="49"/>
      <c r="L251" s="99"/>
      <c r="M251" s="49"/>
      <c r="N251" s="49"/>
      <c r="O251" s="49"/>
      <c r="P251" s="49"/>
      <c r="Q251" s="49"/>
      <c r="R251" s="49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9"/>
      <c r="G252" s="49"/>
      <c r="H252" s="49"/>
      <c r="I252" s="49"/>
      <c r="J252" s="49"/>
      <c r="K252" s="49"/>
      <c r="L252" s="99"/>
      <c r="M252" s="49"/>
      <c r="N252" s="49"/>
      <c r="O252" s="49"/>
      <c r="P252" s="49"/>
      <c r="Q252" s="49"/>
      <c r="R252" s="49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9"/>
      <c r="G253" s="49"/>
      <c r="H253" s="49"/>
      <c r="I253" s="49"/>
      <c r="J253" s="49"/>
      <c r="K253" s="49"/>
      <c r="L253" s="99"/>
      <c r="M253" s="49"/>
      <c r="N253" s="49"/>
      <c r="O253" s="49"/>
      <c r="P253" s="49"/>
      <c r="Q253" s="49"/>
      <c r="R253" s="49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9"/>
      <c r="G254" s="49"/>
      <c r="H254" s="49"/>
      <c r="I254" s="49"/>
      <c r="J254" s="49"/>
      <c r="K254" s="49"/>
      <c r="L254" s="99"/>
      <c r="M254" s="49"/>
      <c r="N254" s="49"/>
      <c r="O254" s="49"/>
      <c r="P254" s="49"/>
      <c r="Q254" s="49"/>
      <c r="R254" s="49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9"/>
      <c r="G255" s="49"/>
      <c r="H255" s="49"/>
      <c r="I255" s="49"/>
      <c r="J255" s="49"/>
      <c r="K255" s="49"/>
      <c r="L255" s="99"/>
      <c r="M255" s="49"/>
      <c r="N255" s="49"/>
      <c r="O255" s="49"/>
      <c r="P255" s="49"/>
      <c r="Q255" s="49"/>
      <c r="R255" s="49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9"/>
      <c r="G256" s="49"/>
      <c r="H256" s="49"/>
      <c r="I256" s="49"/>
      <c r="J256" s="49"/>
      <c r="K256" s="49"/>
      <c r="L256" s="99"/>
      <c r="M256" s="49"/>
      <c r="N256" s="49"/>
      <c r="O256" s="49"/>
      <c r="P256" s="49"/>
      <c r="Q256" s="49"/>
      <c r="R256" s="49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9"/>
      <c r="G257" s="49"/>
      <c r="H257" s="49"/>
      <c r="I257" s="49"/>
      <c r="J257" s="49"/>
      <c r="K257" s="49"/>
      <c r="L257" s="99"/>
      <c r="M257" s="49"/>
      <c r="N257" s="49"/>
      <c r="O257" s="49"/>
      <c r="P257" s="49"/>
      <c r="Q257" s="49"/>
      <c r="R257" s="49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9"/>
      <c r="G258" s="49"/>
      <c r="H258" s="49"/>
      <c r="I258" s="49"/>
      <c r="J258" s="49"/>
      <c r="K258" s="49"/>
      <c r="L258" s="99"/>
      <c r="M258" s="49"/>
      <c r="N258" s="49"/>
      <c r="O258" s="49"/>
      <c r="P258" s="49"/>
      <c r="Q258" s="49"/>
      <c r="R258" s="49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9"/>
      <c r="G259" s="49"/>
      <c r="H259" s="49"/>
      <c r="I259" s="49"/>
      <c r="J259" s="49"/>
      <c r="K259" s="49"/>
      <c r="L259" s="99"/>
      <c r="M259" s="49"/>
      <c r="N259" s="49"/>
      <c r="O259" s="49"/>
      <c r="P259" s="49"/>
      <c r="Q259" s="49"/>
      <c r="R259" s="49"/>
      <c r="S259" s="43"/>
      <c r="T259" s="43"/>
      <c r="U259" s="43"/>
      <c r="V259" s="43"/>
      <c r="W259" s="43"/>
      <c r="X259" s="43"/>
    </row>
    <row r="260" ht="15.75" customHeight="1">
      <c r="A260" s="43"/>
      <c r="B260" s="43"/>
      <c r="C260" s="43"/>
      <c r="D260" s="43"/>
      <c r="E260" s="43"/>
      <c r="F260" s="49"/>
      <c r="G260" s="49"/>
      <c r="H260" s="49"/>
      <c r="I260" s="49"/>
      <c r="J260" s="49"/>
      <c r="K260" s="49"/>
      <c r="L260" s="99"/>
      <c r="M260" s="49"/>
      <c r="N260" s="49"/>
      <c r="O260" s="49"/>
      <c r="P260" s="49"/>
      <c r="Q260" s="49"/>
      <c r="R260" s="49"/>
      <c r="S260" s="43"/>
      <c r="T260" s="43"/>
      <c r="U260" s="43"/>
      <c r="V260" s="43"/>
      <c r="W260" s="43"/>
      <c r="X260" s="43"/>
    </row>
    <row r="261" ht="15.75" customHeight="1"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</row>
    <row r="262" ht="15.75" customHeight="1"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ht="15.75" customHeight="1"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ht="15.75" customHeight="1"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ht="15.75" customHeight="1"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ht="15.75" customHeight="1"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ht="15.75" customHeight="1"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</row>
    <row r="268" ht="15.75" customHeight="1"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</row>
    <row r="269" ht="15.75" customHeight="1"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</row>
    <row r="270" ht="15.75" customHeight="1"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ht="15.75" customHeight="1"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">
    <mergeCell ref="A2:C2"/>
    <mergeCell ref="A6:B6"/>
    <mergeCell ref="A7:B7"/>
    <mergeCell ref="A8:B8"/>
  </mergeCells>
  <conditionalFormatting sqref="J16:J17 J21 J25:J28 J34 J38:J42 J45:J47 J51 J55">
    <cfRule type="cellIs" dxfId="0" priority="1" operator="greaterThan">
      <formula>L16</formula>
    </cfRule>
  </conditionalFormatting>
  <conditionalFormatting sqref="J16:J17 J21 J25:J28 J34 J38:J42 J45:J47 J51 J55">
    <cfRule type="cellIs" dxfId="1" priority="2" operator="lessThan">
      <formula>L16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8.0"/>
    <col customWidth="1" min="7" max="7" width="1.88"/>
    <col customWidth="1" min="8" max="8" width="9.25"/>
    <col customWidth="1" min="9" max="9" width="1.88"/>
    <col customWidth="1" min="10" max="10" width="16.88"/>
    <col customWidth="1" min="12" max="12" width="18.25"/>
  </cols>
  <sheetData>
    <row r="1">
      <c r="A1" s="40" t="s">
        <v>62</v>
      </c>
      <c r="B1" s="40" t="s">
        <v>536</v>
      </c>
      <c r="C1" s="40"/>
      <c r="D1" s="40"/>
      <c r="E1" s="40"/>
      <c r="F1" s="40"/>
      <c r="G1" s="40"/>
      <c r="H1" s="40"/>
      <c r="I1" s="40"/>
      <c r="J1" s="40"/>
      <c r="K1" s="40"/>
      <c r="L1" s="40"/>
    </row>
    <row r="2" ht="39.0" customHeight="1">
      <c r="A2" s="77" t="s">
        <v>537</v>
      </c>
      <c r="D2" s="42"/>
      <c r="E2" s="42"/>
      <c r="F2" s="42"/>
      <c r="G2" s="42"/>
      <c r="H2" s="42"/>
      <c r="I2" s="42"/>
      <c r="J2" s="42"/>
      <c r="L2" s="42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J33</f>
        <v>215352.6614</v>
      </c>
      <c r="K6" s="42"/>
      <c r="L6" s="37">
        <v>184126.0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J61</f>
        <v>161285.9458</v>
      </c>
      <c r="K7" s="42"/>
      <c r="L7" s="37">
        <v>155940.0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54066.71559</v>
      </c>
      <c r="K8" s="42"/>
      <c r="L8" s="37">
        <v>28186.0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3" t="s">
        <v>538</v>
      </c>
      <c r="C12" s="43"/>
      <c r="D12" s="54">
        <v>286.0</v>
      </c>
      <c r="E12" s="43"/>
      <c r="F12" s="43"/>
      <c r="G12" s="43"/>
      <c r="H12" s="43"/>
      <c r="I12" s="43"/>
      <c r="J12" s="43"/>
      <c r="K12" s="43"/>
      <c r="L12" s="43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87">
        <v>3000.0</v>
      </c>
      <c r="B13" s="71" t="s">
        <v>172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54" t="s">
        <v>516</v>
      </c>
      <c r="C14" s="43"/>
      <c r="D14" s="43"/>
      <c r="E14" s="43"/>
      <c r="F14" s="43"/>
      <c r="G14" s="43"/>
      <c r="H14" s="43"/>
      <c r="I14" s="43"/>
      <c r="J14" s="59">
        <v>600.0</v>
      </c>
      <c r="K14" s="43"/>
      <c r="L14" s="59">
        <v>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81" t="s">
        <v>147</v>
      </c>
      <c r="C15" s="81"/>
      <c r="D15" s="81"/>
      <c r="E15" s="81"/>
      <c r="F15" s="81"/>
      <c r="G15" s="81"/>
      <c r="H15" s="81"/>
      <c r="I15" s="81"/>
      <c r="J15" s="82">
        <f>SUM(J13:J14)</f>
        <v>600</v>
      </c>
      <c r="K15" s="81"/>
      <c r="L15" s="82">
        <f>SUM(L13:L14)</f>
        <v>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80">
        <v>3010.0</v>
      </c>
      <c r="B17" s="52" t="s">
        <v>517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9"/>
      <c r="N17" s="132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43" t="s">
        <v>518</v>
      </c>
      <c r="C18" s="43"/>
      <c r="D18" s="43"/>
      <c r="E18" s="43"/>
      <c r="F18" s="43"/>
      <c r="G18" s="43"/>
      <c r="H18" s="43"/>
      <c r="I18" s="43"/>
      <c r="J18" s="59">
        <v>700.0</v>
      </c>
      <c r="K18" s="43"/>
      <c r="L18" s="16">
        <v>500.0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81" t="s">
        <v>147</v>
      </c>
      <c r="C19" s="81"/>
      <c r="D19" s="81"/>
      <c r="E19" s="81"/>
      <c r="F19" s="81"/>
      <c r="G19" s="81"/>
      <c r="H19" s="81"/>
      <c r="I19" s="81"/>
      <c r="J19" s="82">
        <f>SUM(J17:J18)</f>
        <v>700</v>
      </c>
      <c r="K19" s="81"/>
      <c r="L19" s="82">
        <v>500.0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52"/>
      <c r="C20" s="52"/>
      <c r="D20" s="52"/>
      <c r="E20" s="52"/>
      <c r="F20" s="52"/>
      <c r="G20" s="52"/>
      <c r="H20" s="52"/>
      <c r="I20" s="52"/>
      <c r="J20" s="73"/>
      <c r="K20" s="52"/>
      <c r="L20" s="73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80" t="s">
        <v>519</v>
      </c>
      <c r="B21" s="52" t="s">
        <v>520</v>
      </c>
      <c r="C21" s="52"/>
      <c r="D21" s="52"/>
      <c r="E21" s="52"/>
      <c r="F21" s="52"/>
      <c r="G21" s="52"/>
      <c r="H21" s="52"/>
      <c r="I21" s="52"/>
      <c r="J21" s="73"/>
      <c r="K21" s="52"/>
      <c r="L21" s="7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521</v>
      </c>
      <c r="D22" s="16"/>
      <c r="F22" s="123">
        <f>Parametrar!$I$33</f>
        <v>1.44</v>
      </c>
      <c r="G22" s="124" t="s">
        <v>118</v>
      </c>
      <c r="H22" s="16">
        <f t="shared" ref="H22:H25" si="1">J41</f>
        <v>8850.439928</v>
      </c>
      <c r="I22" s="62" t="s">
        <v>119</v>
      </c>
      <c r="J22" s="59">
        <f t="shared" ref="J22:J25" si="2">F22*H22</f>
        <v>12744.6335</v>
      </c>
      <c r="L22" s="16">
        <v>10404.0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522</v>
      </c>
      <c r="D23" s="16"/>
      <c r="F23" s="123">
        <f>Parametrar!$I$34</f>
        <v>1.35</v>
      </c>
      <c r="G23" s="124" t="s">
        <v>118</v>
      </c>
      <c r="H23" s="16">
        <f t="shared" si="1"/>
        <v>3660.791982</v>
      </c>
      <c r="I23" s="62" t="s">
        <v>119</v>
      </c>
      <c r="J23" s="59">
        <f t="shared" si="2"/>
        <v>4942.069176</v>
      </c>
      <c r="L23" s="16">
        <v>2835.0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523</v>
      </c>
      <c r="D24" s="16"/>
      <c r="F24" s="123">
        <f>Parametrar!$I$35</f>
        <v>1.44</v>
      </c>
      <c r="G24" s="124" t="s">
        <v>118</v>
      </c>
      <c r="H24" s="16">
        <f t="shared" si="1"/>
        <v>21435.53083</v>
      </c>
      <c r="I24" s="62" t="s">
        <v>119</v>
      </c>
      <c r="J24" s="59">
        <f t="shared" si="2"/>
        <v>30867.16439</v>
      </c>
      <c r="L24" s="16">
        <v>63450.0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131</v>
      </c>
      <c r="D25" s="16"/>
      <c r="F25" s="123">
        <f>Parametrar!$I$36</f>
        <v>2.7</v>
      </c>
      <c r="G25" s="124" t="s">
        <v>118</v>
      </c>
      <c r="H25" s="16">
        <f t="shared" si="1"/>
        <v>13529.1831</v>
      </c>
      <c r="I25" s="62" t="s">
        <v>119</v>
      </c>
      <c r="J25" s="59">
        <f t="shared" si="2"/>
        <v>36528.79436</v>
      </c>
      <c r="L25" s="16">
        <v>36000.0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SUM(J22:J25)</f>
        <v>85082.66143</v>
      </c>
      <c r="K26" s="81"/>
      <c r="L26" s="82">
        <v>112689.0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16"/>
      <c r="M27" s="49"/>
      <c r="O27" s="132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80">
        <v>3015.0</v>
      </c>
      <c r="B28" s="52" t="s">
        <v>175</v>
      </c>
      <c r="C28" s="52"/>
      <c r="D28" s="52"/>
      <c r="E28" s="52"/>
      <c r="F28" s="52"/>
      <c r="G28" s="52"/>
      <c r="H28" s="52"/>
      <c r="I28" s="52"/>
      <c r="J28" s="73"/>
      <c r="K28" s="52"/>
      <c r="L28" s="73"/>
      <c r="M28" s="49"/>
      <c r="O28" s="132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539</v>
      </c>
      <c r="F29" s="43">
        <f>D12</f>
        <v>286</v>
      </c>
      <c r="G29" s="43" t="s">
        <v>155</v>
      </c>
      <c r="H29" s="59">
        <v>395.0</v>
      </c>
      <c r="I29" s="84" t="s">
        <v>119</v>
      </c>
      <c r="J29" s="16">
        <f>F29*H29</f>
        <v>112970</v>
      </c>
      <c r="L29" s="16">
        <v>108500.0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54" t="s">
        <v>540</v>
      </c>
      <c r="F30" s="43"/>
      <c r="G30" s="43"/>
      <c r="H30" s="16"/>
      <c r="I30" s="43"/>
      <c r="J30" s="59">
        <v>16000.0</v>
      </c>
      <c r="L30" s="59">
        <v>0.0</v>
      </c>
      <c r="M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81" t="s">
        <v>147</v>
      </c>
      <c r="C31" s="81"/>
      <c r="D31" s="81"/>
      <c r="E31" s="81"/>
      <c r="F31" s="31">
        <f>D12</f>
        <v>286</v>
      </c>
      <c r="G31" s="133" t="s">
        <v>118</v>
      </c>
      <c r="H31" s="31">
        <f>J31/F31</f>
        <v>450.9440559</v>
      </c>
      <c r="I31" s="81"/>
      <c r="J31" s="82">
        <f>SUM(J29:J30)</f>
        <v>128970</v>
      </c>
      <c r="K31" s="81"/>
      <c r="L31" s="82">
        <v>108500.0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7"/>
      <c r="B33" s="47" t="s">
        <v>3</v>
      </c>
      <c r="C33" s="47"/>
      <c r="D33" s="47"/>
      <c r="E33" s="47"/>
      <c r="F33" s="47"/>
      <c r="G33" s="47"/>
      <c r="H33" s="47"/>
      <c r="I33" s="47"/>
      <c r="J33" s="93">
        <f>SUM(J11:J32)/2</f>
        <v>215352.6614</v>
      </c>
      <c r="K33" s="47"/>
      <c r="L33" s="93">
        <v>184126.0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52"/>
      <c r="C34" s="43"/>
      <c r="D34" s="43"/>
      <c r="E34" s="43"/>
      <c r="F34" s="43"/>
      <c r="G34" s="43"/>
      <c r="H34" s="43"/>
      <c r="I34" s="43"/>
      <c r="J34" s="73"/>
      <c r="K34" s="43"/>
      <c r="L34" s="7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80">
        <v>4101.0</v>
      </c>
      <c r="B35" s="52" t="s">
        <v>255</v>
      </c>
      <c r="C35" s="52"/>
      <c r="D35" s="52"/>
      <c r="E35" s="52"/>
      <c r="F35" s="52"/>
      <c r="G35" s="52"/>
      <c r="H35" s="52"/>
      <c r="I35" s="52"/>
      <c r="J35" s="73"/>
      <c r="K35" s="52"/>
      <c r="L35" s="7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 t="s">
        <v>101</v>
      </c>
      <c r="F36" s="43">
        <f>D12</f>
        <v>286</v>
      </c>
      <c r="G36" s="43" t="s">
        <v>118</v>
      </c>
      <c r="H36" s="59">
        <v>85.0</v>
      </c>
      <c r="I36" s="43"/>
      <c r="J36" s="16">
        <f>F36*H36</f>
        <v>24310</v>
      </c>
      <c r="L36" s="16">
        <v>31000.0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 t="s">
        <v>528</v>
      </c>
      <c r="D37" s="43"/>
      <c r="F37" s="43"/>
      <c r="I37" s="43"/>
      <c r="J37" s="59">
        <v>1000.0</v>
      </c>
      <c r="L37" s="16">
        <v>5000.0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81" t="s">
        <v>147</v>
      </c>
      <c r="C38" s="81"/>
      <c r="D38" s="81"/>
      <c r="E38" s="81"/>
      <c r="F38" s="81"/>
      <c r="G38" s="81"/>
      <c r="H38" s="81"/>
      <c r="I38" s="81"/>
      <c r="J38" s="82">
        <f>SUM(J36:J37)</f>
        <v>25310</v>
      </c>
      <c r="K38" s="81"/>
      <c r="L38" s="82">
        <v>36000.0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52"/>
      <c r="C39" s="52"/>
      <c r="D39" s="52"/>
      <c r="E39" s="52"/>
      <c r="F39" s="52"/>
      <c r="G39" s="52"/>
      <c r="H39" s="52"/>
      <c r="I39" s="52"/>
      <c r="J39" s="73"/>
      <c r="K39" s="52"/>
      <c r="L39" s="73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80" t="s">
        <v>526</v>
      </c>
      <c r="B40" s="52" t="s">
        <v>527</v>
      </c>
      <c r="D40" s="43"/>
      <c r="F40" s="43"/>
      <c r="I40" s="43"/>
      <c r="J40" s="16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521</v>
      </c>
      <c r="D41" s="16"/>
      <c r="E41" s="43"/>
      <c r="F41" s="123">
        <f>Parametrar!$I$52</f>
        <v>0.08079730587</v>
      </c>
      <c r="G41" s="54" t="s">
        <v>118</v>
      </c>
      <c r="H41" s="59">
        <f>Parametrar!$I$23</f>
        <v>109538.8</v>
      </c>
      <c r="I41" s="62" t="s">
        <v>119</v>
      </c>
      <c r="J41" s="59">
        <f t="shared" ref="J41:J44" si="3">F41*H41</f>
        <v>8850.439928</v>
      </c>
      <c r="K41" s="16"/>
      <c r="L41" s="59">
        <v>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 t="s">
        <v>522</v>
      </c>
      <c r="D42" s="59"/>
      <c r="E42" s="43"/>
      <c r="F42" s="123">
        <f>Parametrar!$I$53</f>
        <v>0.08001839549</v>
      </c>
      <c r="G42" s="54" t="s">
        <v>118</v>
      </c>
      <c r="H42" s="59">
        <f>Parametrar!$I$24</f>
        <v>45749.38</v>
      </c>
      <c r="I42" s="62" t="s">
        <v>119</v>
      </c>
      <c r="J42" s="59">
        <f t="shared" si="3"/>
        <v>3660.791982</v>
      </c>
      <c r="L42" s="59">
        <v>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 t="s">
        <v>523</v>
      </c>
      <c r="C43" s="43"/>
      <c r="D43" s="16"/>
      <c r="E43" s="43"/>
      <c r="F43" s="123">
        <f>Parametrar!$I$54</f>
        <v>0.2510522421</v>
      </c>
      <c r="G43" s="54" t="s">
        <v>118</v>
      </c>
      <c r="H43" s="59">
        <f>Parametrar!$I$25</f>
        <v>85382.75</v>
      </c>
      <c r="I43" s="62" t="s">
        <v>119</v>
      </c>
      <c r="J43" s="59">
        <f t="shared" si="3"/>
        <v>21435.53083</v>
      </c>
      <c r="K43" s="43"/>
      <c r="L43" s="59">
        <v>0.0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 t="s">
        <v>131</v>
      </c>
      <c r="C44" s="43"/>
      <c r="D44" s="16"/>
      <c r="E44" s="43"/>
      <c r="F44" s="123">
        <f>Parametrar!$I$55</f>
        <v>0.1432167287</v>
      </c>
      <c r="G44" s="54" t="s">
        <v>118</v>
      </c>
      <c r="H44" s="59">
        <f>Parametrar!$I$26</f>
        <v>94466.5</v>
      </c>
      <c r="I44" s="62" t="s">
        <v>119</v>
      </c>
      <c r="J44" s="59">
        <f t="shared" si="3"/>
        <v>13529.1831</v>
      </c>
      <c r="K44" s="43"/>
      <c r="L44" s="59">
        <v>0.0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81" t="s">
        <v>147</v>
      </c>
      <c r="C45" s="81"/>
      <c r="D45" s="81"/>
      <c r="E45" s="81"/>
      <c r="F45" s="81"/>
      <c r="G45" s="81"/>
      <c r="H45" s="81"/>
      <c r="I45" s="81"/>
      <c r="J45" s="82">
        <f>SUM(J41:J44)</f>
        <v>47475.94584</v>
      </c>
      <c r="K45" s="81"/>
      <c r="L45" s="126">
        <v>0.0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52"/>
      <c r="C46" s="52"/>
      <c r="D46" s="52"/>
      <c r="E46" s="52"/>
      <c r="F46" s="52"/>
      <c r="G46" s="52"/>
      <c r="H46" s="52"/>
      <c r="I46" s="52"/>
      <c r="J46" s="73"/>
      <c r="K46" s="52"/>
      <c r="L46" s="7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80">
        <v>4310.0</v>
      </c>
      <c r="B47" s="52" t="s">
        <v>177</v>
      </c>
      <c r="C47" s="52"/>
      <c r="D47" s="52"/>
      <c r="E47" s="52"/>
      <c r="F47" s="52"/>
      <c r="G47" s="52"/>
      <c r="H47" s="52"/>
      <c r="I47" s="52"/>
      <c r="J47" s="73"/>
      <c r="K47" s="52"/>
      <c r="L47" s="7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125"/>
      <c r="B48" s="43" t="s">
        <v>529</v>
      </c>
      <c r="H48" s="16"/>
      <c r="I48" s="43"/>
      <c r="J48" s="16">
        <v>66000.0</v>
      </c>
      <c r="L48" s="16">
        <v>66000.0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 t="s">
        <v>530</v>
      </c>
      <c r="D49" s="43"/>
      <c r="F49" s="43"/>
      <c r="H49" s="16"/>
      <c r="I49" s="43"/>
      <c r="J49" s="16">
        <v>3000.0</v>
      </c>
      <c r="L49" s="16">
        <v>3000.0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 t="s">
        <v>184</v>
      </c>
      <c r="C50" s="52"/>
      <c r="D50" s="52"/>
      <c r="E50" s="52"/>
      <c r="F50" s="52"/>
      <c r="G50" s="52"/>
      <c r="H50" s="52"/>
      <c r="I50" s="52"/>
      <c r="J50" s="16">
        <v>500.0</v>
      </c>
      <c r="K50" s="52"/>
      <c r="L50" s="16">
        <v>500.0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81" t="s">
        <v>147</v>
      </c>
      <c r="C51" s="81"/>
      <c r="D51" s="81"/>
      <c r="E51" s="81"/>
      <c r="F51" s="81"/>
      <c r="G51" s="81"/>
      <c r="H51" s="81"/>
      <c r="I51" s="81"/>
      <c r="J51" s="82">
        <f>SUM(J48:J50)</f>
        <v>69500</v>
      </c>
      <c r="K51" s="81"/>
      <c r="L51" s="82">
        <v>69500.0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80">
        <v>6590.0</v>
      </c>
      <c r="B53" s="52" t="s">
        <v>186</v>
      </c>
      <c r="C53" s="52"/>
      <c r="D53" s="52"/>
      <c r="E53" s="52"/>
      <c r="F53" s="52"/>
      <c r="G53" s="52"/>
      <c r="H53" s="52"/>
      <c r="I53" s="52"/>
      <c r="J53" s="73"/>
      <c r="K53" s="52"/>
      <c r="L53" s="7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125"/>
      <c r="B54" s="43" t="s">
        <v>541</v>
      </c>
      <c r="H54" s="16"/>
      <c r="I54" s="43"/>
      <c r="J54" s="59">
        <v>16000.0</v>
      </c>
      <c r="L54" s="16">
        <v>16000.0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81" t="s">
        <v>147</v>
      </c>
      <c r="C55" s="81"/>
      <c r="D55" s="81"/>
      <c r="E55" s="81"/>
      <c r="F55" s="81"/>
      <c r="G55" s="81"/>
      <c r="H55" s="81"/>
      <c r="I55" s="81"/>
      <c r="J55" s="82">
        <f>SUM(J53:J54)</f>
        <v>16000</v>
      </c>
      <c r="K55" s="81"/>
      <c r="L55" s="82">
        <v>16000.0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52"/>
      <c r="C56" s="52"/>
      <c r="D56" s="52"/>
      <c r="E56" s="52"/>
      <c r="F56" s="52"/>
      <c r="G56" s="52"/>
      <c r="H56" s="52"/>
      <c r="I56" s="52"/>
      <c r="J56" s="73"/>
      <c r="K56" s="52"/>
      <c r="L56" s="7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80">
        <v>6950.0</v>
      </c>
      <c r="B57" s="52" t="s">
        <v>466</v>
      </c>
      <c r="C57" s="52"/>
      <c r="D57" s="52"/>
      <c r="E57" s="52"/>
      <c r="F57" s="52"/>
      <c r="G57" s="52"/>
      <c r="H57" s="52"/>
      <c r="I57" s="52"/>
      <c r="J57" s="73"/>
      <c r="K57" s="52"/>
      <c r="L57" s="7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125"/>
      <c r="B58" s="43" t="s">
        <v>192</v>
      </c>
      <c r="H58" s="16"/>
      <c r="I58" s="43"/>
      <c r="J58" s="16">
        <v>3000.0</v>
      </c>
      <c r="L58" s="16">
        <v>3000.0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81" t="s">
        <v>147</v>
      </c>
      <c r="C59" s="81"/>
      <c r="D59" s="81"/>
      <c r="E59" s="81"/>
      <c r="F59" s="81"/>
      <c r="G59" s="81"/>
      <c r="H59" s="81"/>
      <c r="I59" s="81"/>
      <c r="J59" s="82">
        <f>SUM(J57:J58)</f>
        <v>3000</v>
      </c>
      <c r="K59" s="81"/>
      <c r="L59" s="82">
        <v>3000.0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 t="s">
        <v>542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7"/>
      <c r="B61" s="47" t="s">
        <v>4</v>
      </c>
      <c r="C61" s="47"/>
      <c r="D61" s="47"/>
      <c r="E61" s="47"/>
      <c r="F61" s="47"/>
      <c r="G61" s="47"/>
      <c r="H61" s="47"/>
      <c r="I61" s="47"/>
      <c r="J61" s="93">
        <f>SUM(J34:J60)/2</f>
        <v>161285.9458</v>
      </c>
      <c r="K61" s="47"/>
      <c r="L61" s="93">
        <v>155940.0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16"/>
      <c r="K62" s="43"/>
      <c r="L62" s="16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7"/>
      <c r="B63" s="47" t="s">
        <v>5</v>
      </c>
      <c r="C63" s="47"/>
      <c r="D63" s="47"/>
      <c r="E63" s="47"/>
      <c r="F63" s="47"/>
      <c r="G63" s="47"/>
      <c r="H63" s="47"/>
      <c r="I63" s="47"/>
      <c r="J63" s="57">
        <f>J33-J61</f>
        <v>54066.71559</v>
      </c>
      <c r="K63" s="47"/>
      <c r="L63" s="57">
        <v>28186.0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A2:C2"/>
    <mergeCell ref="A6:B6"/>
    <mergeCell ref="A7:B7"/>
    <mergeCell ref="A8:B8"/>
  </mergeCells>
  <conditionalFormatting sqref="J14 J18 J22:J25 J29:J30 J36:J37 J41:J45 J48:J50 J54 J58">
    <cfRule type="cellIs" dxfId="0" priority="1" operator="greaterThan">
      <formula>L14</formula>
    </cfRule>
  </conditionalFormatting>
  <conditionalFormatting sqref="J14 J18 J22:J25 J29:J30 J36:J37 J41:J45 J48:J50 J54 J58">
    <cfRule type="cellIs" dxfId="1" priority="2" operator="lessThan">
      <formula>L14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7.75"/>
    <col customWidth="1" min="7" max="7" width="1.88"/>
    <col customWidth="1" min="8" max="8" width="9.25"/>
    <col customWidth="1" min="9" max="9" width="1.88"/>
    <col customWidth="1" min="10" max="10" width="16.88"/>
    <col customWidth="1" min="11" max="11" width="9.25"/>
  </cols>
  <sheetData>
    <row r="1" ht="15.75" customHeight="1">
      <c r="A1" s="40" t="s">
        <v>63</v>
      </c>
      <c r="B1" s="40" t="s">
        <v>543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544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J31</f>
        <v>42970.2417</v>
      </c>
      <c r="K6" s="42"/>
      <c r="L6" s="37">
        <v>69415.0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J54</f>
        <v>82705.30855</v>
      </c>
      <c r="K7" s="42"/>
      <c r="L7" s="37">
        <v>83850.0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-39735.06685</v>
      </c>
      <c r="K8" s="42"/>
      <c r="L8" s="37">
        <v>-14435.0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87">
        <v>3000.0</v>
      </c>
      <c r="B11" s="71" t="s">
        <v>172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54" t="s">
        <v>516</v>
      </c>
      <c r="C12" s="43"/>
      <c r="D12" s="43"/>
      <c r="E12" s="43"/>
      <c r="F12" s="43"/>
      <c r="G12" s="43"/>
      <c r="H12" s="43"/>
      <c r="I12" s="43"/>
      <c r="J12" s="59">
        <v>700.0</v>
      </c>
      <c r="K12" s="43"/>
      <c r="L12" s="59">
        <v>0.0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81" t="s">
        <v>147</v>
      </c>
      <c r="C13" s="81"/>
      <c r="D13" s="81"/>
      <c r="E13" s="81"/>
      <c r="F13" s="81"/>
      <c r="G13" s="81"/>
      <c r="H13" s="81"/>
      <c r="I13" s="81"/>
      <c r="J13" s="82">
        <f>SUM(J11:J12)</f>
        <v>700</v>
      </c>
      <c r="K13" s="81"/>
      <c r="L13" s="82">
        <f>SUM(L11:L12)</f>
        <v>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80">
        <v>3010.0</v>
      </c>
      <c r="B15" s="52" t="s">
        <v>517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518</v>
      </c>
      <c r="C16" s="43"/>
      <c r="D16" s="43"/>
      <c r="E16" s="43"/>
      <c r="F16" s="43"/>
      <c r="G16" s="43"/>
      <c r="H16" s="43"/>
      <c r="I16" s="43"/>
      <c r="J16" s="16">
        <v>500.0</v>
      </c>
      <c r="K16" s="43"/>
      <c r="L16" s="16">
        <v>500.0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81" t="s">
        <v>147</v>
      </c>
      <c r="C17" s="81"/>
      <c r="D17" s="81"/>
      <c r="E17" s="81"/>
      <c r="F17" s="81"/>
      <c r="G17" s="81"/>
      <c r="H17" s="81"/>
      <c r="I17" s="81"/>
      <c r="J17" s="82">
        <f>SUM(J16)</f>
        <v>500</v>
      </c>
      <c r="K17" s="81"/>
      <c r="L17" s="82">
        <v>1195.0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52"/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80" t="s">
        <v>519</v>
      </c>
      <c r="B19" s="52" t="s">
        <v>520</v>
      </c>
      <c r="C19" s="52"/>
      <c r="D19" s="52"/>
      <c r="E19" s="52"/>
      <c r="F19" s="52"/>
      <c r="G19" s="52"/>
      <c r="H19" s="52"/>
      <c r="I19" s="52"/>
      <c r="J19" s="73"/>
      <c r="K19" s="52"/>
      <c r="L19" s="73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521</v>
      </c>
      <c r="D20" s="16"/>
      <c r="F20" s="123">
        <f>Parametrar!$I$33</f>
        <v>1.44</v>
      </c>
      <c r="G20" s="124" t="s">
        <v>118</v>
      </c>
      <c r="H20" s="16">
        <f t="shared" ref="H20:H23" si="1">J39</f>
        <v>4276.569164</v>
      </c>
      <c r="I20" s="62" t="s">
        <v>119</v>
      </c>
      <c r="J20" s="59">
        <f t="shared" ref="J20:J23" si="2">F20*H20</f>
        <v>6158.259596</v>
      </c>
      <c r="K20" s="16"/>
      <c r="L20" s="16">
        <v>13770.0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522</v>
      </c>
      <c r="D21" s="16"/>
      <c r="F21" s="123">
        <f>Parametrar!$I$34</f>
        <v>1.35</v>
      </c>
      <c r="G21" s="124" t="s">
        <v>118</v>
      </c>
      <c r="H21" s="16">
        <f t="shared" si="1"/>
        <v>1273.567258</v>
      </c>
      <c r="I21" s="62" t="s">
        <v>119</v>
      </c>
      <c r="J21" s="59">
        <f t="shared" si="2"/>
        <v>1719.315798</v>
      </c>
      <c r="K21" s="16"/>
      <c r="L21" s="16">
        <v>12150.0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523</v>
      </c>
      <c r="D22" s="16"/>
      <c r="F22" s="123">
        <f>Parametrar!$I$35</f>
        <v>1.44</v>
      </c>
      <c r="G22" s="124" t="s">
        <v>118</v>
      </c>
      <c r="H22" s="16">
        <f t="shared" si="1"/>
        <v>12584.36385</v>
      </c>
      <c r="I22" s="62" t="s">
        <v>119</v>
      </c>
      <c r="J22" s="59">
        <f t="shared" si="2"/>
        <v>18121.48395</v>
      </c>
      <c r="K22" s="16"/>
      <c r="L22" s="16">
        <v>27000.0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131</v>
      </c>
      <c r="D23" s="16"/>
      <c r="F23" s="123">
        <f>Parametrar!$I$36</f>
        <v>2.7</v>
      </c>
      <c r="G23" s="124" t="s">
        <v>118</v>
      </c>
      <c r="H23" s="16">
        <f t="shared" si="1"/>
        <v>5470.808282</v>
      </c>
      <c r="I23" s="62" t="s">
        <v>119</v>
      </c>
      <c r="J23" s="59">
        <f t="shared" si="2"/>
        <v>14771.18236</v>
      </c>
      <c r="K23" s="16"/>
      <c r="L23" s="16">
        <v>10800.0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81" t="s">
        <v>147</v>
      </c>
      <c r="C24" s="81"/>
      <c r="D24" s="81"/>
      <c r="E24" s="81"/>
      <c r="F24" s="81"/>
      <c r="G24" s="81"/>
      <c r="H24" s="81"/>
      <c r="I24" s="81"/>
      <c r="J24" s="82">
        <f>SUM(J20:J23)</f>
        <v>40770.2417</v>
      </c>
      <c r="K24" s="81"/>
      <c r="L24" s="82">
        <v>63720.0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80">
        <v>3015.0</v>
      </c>
      <c r="B26" s="52" t="s">
        <v>175</v>
      </c>
      <c r="C26" s="52"/>
      <c r="D26" s="52"/>
      <c r="E26" s="52"/>
      <c r="F26" s="52"/>
      <c r="G26" s="52"/>
      <c r="H26" s="52"/>
      <c r="I26" s="52"/>
      <c r="J26" s="73"/>
      <c r="K26" s="52"/>
      <c r="L26" s="73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545</v>
      </c>
      <c r="F27" s="124">
        <v>4.0</v>
      </c>
      <c r="G27" s="124" t="s">
        <v>118</v>
      </c>
      <c r="H27" s="59">
        <v>250.0</v>
      </c>
      <c r="I27" s="43"/>
      <c r="J27" s="59">
        <f t="shared" ref="J27:J28" si="3">H27*F27</f>
        <v>1000</v>
      </c>
      <c r="K27" s="16"/>
      <c r="L27" s="16">
        <v>3000.0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546</v>
      </c>
      <c r="F28" s="134">
        <v>0.0</v>
      </c>
      <c r="G28" s="43" t="s">
        <v>118</v>
      </c>
      <c r="H28" s="16">
        <v>30.0</v>
      </c>
      <c r="I28" s="43"/>
      <c r="J28" s="59">
        <f t="shared" si="3"/>
        <v>0</v>
      </c>
      <c r="K28" s="16"/>
      <c r="L28" s="16">
        <v>1500.0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SUM(J27,J28)</f>
        <v>1000</v>
      </c>
      <c r="K29" s="81"/>
      <c r="L29" s="82">
        <v>4500.0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7"/>
      <c r="B31" s="47" t="s">
        <v>3</v>
      </c>
      <c r="C31" s="47"/>
      <c r="D31" s="47"/>
      <c r="E31" s="47"/>
      <c r="F31" s="47"/>
      <c r="G31" s="47"/>
      <c r="H31" s="47"/>
      <c r="I31" s="47"/>
      <c r="J31" s="57">
        <f>SUM(J11:J30)/2</f>
        <v>42970.2417</v>
      </c>
      <c r="K31" s="47"/>
      <c r="L31" s="57">
        <v>69415.0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80">
        <v>4101.0</v>
      </c>
      <c r="B33" s="52" t="s">
        <v>255</v>
      </c>
      <c r="C33" s="52"/>
      <c r="D33" s="52"/>
      <c r="E33" s="52"/>
      <c r="F33" s="52"/>
      <c r="G33" s="52"/>
      <c r="H33" s="52"/>
      <c r="I33" s="52"/>
      <c r="J33" s="73"/>
      <c r="K33" s="52"/>
      <c r="L33" s="7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101</v>
      </c>
      <c r="H34" s="16"/>
      <c r="I34" s="43"/>
      <c r="J34" s="16">
        <v>13000.0</v>
      </c>
      <c r="K34" s="16"/>
      <c r="L34" s="16">
        <v>13000.0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528</v>
      </c>
      <c r="D35" s="43"/>
      <c r="F35" s="43"/>
      <c r="I35" s="43"/>
      <c r="J35" s="16">
        <v>3500.0</v>
      </c>
      <c r="L35" s="16">
        <v>3500.0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81" t="s">
        <v>147</v>
      </c>
      <c r="C36" s="81"/>
      <c r="D36" s="81"/>
      <c r="E36" s="81"/>
      <c r="F36" s="81"/>
      <c r="G36" s="81"/>
      <c r="H36" s="81"/>
      <c r="I36" s="81"/>
      <c r="J36" s="82">
        <f>SUM(J34:J35)</f>
        <v>16500</v>
      </c>
      <c r="K36" s="81"/>
      <c r="L36" s="82">
        <v>16500.0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52"/>
      <c r="C37" s="52"/>
      <c r="D37" s="52"/>
      <c r="E37" s="52"/>
      <c r="F37" s="52"/>
      <c r="G37" s="52"/>
      <c r="H37" s="52"/>
      <c r="I37" s="52"/>
      <c r="J37" s="73"/>
      <c r="K37" s="52"/>
      <c r="L37" s="73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80" t="s">
        <v>526</v>
      </c>
      <c r="B38" s="52" t="s">
        <v>527</v>
      </c>
      <c r="D38" s="43"/>
      <c r="F38" s="43"/>
      <c r="I38" s="43"/>
      <c r="J38" s="16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521</v>
      </c>
      <c r="D39" s="16"/>
      <c r="E39" s="43"/>
      <c r="F39" s="123">
        <f>Parametrar!$I$58</f>
        <v>0.03904159224</v>
      </c>
      <c r="G39" s="54" t="s">
        <v>118</v>
      </c>
      <c r="H39" s="59">
        <f>Parametrar!$I$23</f>
        <v>109538.8</v>
      </c>
      <c r="I39" s="62" t="s">
        <v>119</v>
      </c>
      <c r="J39" s="59">
        <f t="shared" ref="J39:J42" si="4">F39*H39</f>
        <v>4276.569164</v>
      </c>
      <c r="K39" s="16"/>
      <c r="L39" s="59">
        <v>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522</v>
      </c>
      <c r="D40" s="59"/>
      <c r="E40" s="43"/>
      <c r="F40" s="123">
        <f>Parametrar!$I$59</f>
        <v>0.02783791294</v>
      </c>
      <c r="G40" s="54" t="s">
        <v>118</v>
      </c>
      <c r="H40" s="59">
        <f>Parametrar!$I$24</f>
        <v>45749.38</v>
      </c>
      <c r="I40" s="62" t="s">
        <v>119</v>
      </c>
      <c r="J40" s="59">
        <f t="shared" si="4"/>
        <v>1273.567258</v>
      </c>
      <c r="L40" s="59">
        <v>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523</v>
      </c>
      <c r="C41" s="43"/>
      <c r="D41" s="16"/>
      <c r="E41" s="43"/>
      <c r="F41" s="123">
        <f>Parametrar!$I$60</f>
        <v>0.1473876615</v>
      </c>
      <c r="G41" s="54" t="s">
        <v>118</v>
      </c>
      <c r="H41" s="59">
        <f>Parametrar!$I$25</f>
        <v>85382.75</v>
      </c>
      <c r="I41" s="62" t="s">
        <v>119</v>
      </c>
      <c r="J41" s="59">
        <f t="shared" si="4"/>
        <v>12584.36385</v>
      </c>
      <c r="K41" s="43"/>
      <c r="L41" s="59">
        <v>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 t="s">
        <v>131</v>
      </c>
      <c r="C42" s="43"/>
      <c r="D42" s="16"/>
      <c r="E42" s="43"/>
      <c r="F42" s="123">
        <f>Parametrar!$I$61</f>
        <v>0.05791268103</v>
      </c>
      <c r="G42" s="54" t="s">
        <v>118</v>
      </c>
      <c r="H42" s="59">
        <f>Parametrar!$I$26</f>
        <v>94466.5</v>
      </c>
      <c r="I42" s="62" t="s">
        <v>119</v>
      </c>
      <c r="J42" s="59">
        <f t="shared" si="4"/>
        <v>5470.808282</v>
      </c>
      <c r="K42" s="43"/>
      <c r="L42" s="59">
        <v>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81" t="s">
        <v>147</v>
      </c>
      <c r="C43" s="81"/>
      <c r="D43" s="81"/>
      <c r="E43" s="81"/>
      <c r="F43" s="81"/>
      <c r="G43" s="81"/>
      <c r="H43" s="81"/>
      <c r="I43" s="81"/>
      <c r="J43" s="82">
        <f>SUM(J39:J42)</f>
        <v>23605.30855</v>
      </c>
      <c r="K43" s="81"/>
      <c r="L43" s="126">
        <v>0.0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52"/>
      <c r="C44" s="52"/>
      <c r="D44" s="52"/>
      <c r="E44" s="52"/>
      <c r="F44" s="52"/>
      <c r="G44" s="52"/>
      <c r="H44" s="52"/>
      <c r="I44" s="52"/>
      <c r="J44" s="73"/>
      <c r="K44" s="52"/>
      <c r="L44" s="7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80">
        <v>4310.0</v>
      </c>
      <c r="B45" s="52" t="s">
        <v>177</v>
      </c>
      <c r="C45" s="52"/>
      <c r="D45" s="52"/>
      <c r="E45" s="52"/>
      <c r="F45" s="52"/>
      <c r="G45" s="52"/>
      <c r="H45" s="52"/>
      <c r="I45" s="52"/>
      <c r="J45" s="73"/>
      <c r="K45" s="52"/>
      <c r="L45" s="7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125"/>
      <c r="B46" s="43" t="s">
        <v>529</v>
      </c>
      <c r="H46" s="16"/>
      <c r="I46" s="43"/>
      <c r="J46" s="16">
        <v>40000.0</v>
      </c>
      <c r="K46" s="16"/>
      <c r="L46" s="16">
        <v>40000.0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 t="s">
        <v>530</v>
      </c>
      <c r="D47" s="43"/>
      <c r="F47" s="43"/>
      <c r="H47" s="16"/>
      <c r="I47" s="43"/>
      <c r="J47" s="16">
        <v>1000.0</v>
      </c>
      <c r="K47" s="16"/>
      <c r="L47" s="16">
        <v>1000.0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81" t="s">
        <v>147</v>
      </c>
      <c r="C48" s="81"/>
      <c r="D48" s="81"/>
      <c r="E48" s="81"/>
      <c r="F48" s="81"/>
      <c r="G48" s="81"/>
      <c r="H48" s="81"/>
      <c r="I48" s="81"/>
      <c r="J48" s="82">
        <f>SUM(J46:J47)</f>
        <v>41000</v>
      </c>
      <c r="K48" s="81"/>
      <c r="L48" s="82">
        <v>41000.0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52"/>
      <c r="C49" s="52"/>
      <c r="D49" s="52"/>
      <c r="E49" s="52"/>
      <c r="F49" s="52"/>
      <c r="G49" s="52"/>
      <c r="H49" s="52"/>
      <c r="I49" s="52"/>
      <c r="J49" s="73"/>
      <c r="K49" s="52"/>
      <c r="L49" s="7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80">
        <v>6950.0</v>
      </c>
      <c r="B50" s="52" t="s">
        <v>466</v>
      </c>
      <c r="C50" s="52"/>
      <c r="D50" s="52"/>
      <c r="E50" s="52"/>
      <c r="F50" s="52"/>
      <c r="G50" s="52"/>
      <c r="H50" s="52"/>
      <c r="I50" s="52"/>
      <c r="J50" s="73"/>
      <c r="K50" s="52"/>
      <c r="L50" s="7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125"/>
      <c r="B51" s="43" t="s">
        <v>192</v>
      </c>
      <c r="H51" s="16"/>
      <c r="I51" s="43"/>
      <c r="J51" s="16">
        <v>1600.0</v>
      </c>
      <c r="K51" s="16"/>
      <c r="L51" s="16">
        <v>1600.0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81" t="s">
        <v>147</v>
      </c>
      <c r="C52" s="81"/>
      <c r="D52" s="81"/>
      <c r="E52" s="81"/>
      <c r="F52" s="81"/>
      <c r="G52" s="81"/>
      <c r="H52" s="81"/>
      <c r="I52" s="81"/>
      <c r="J52" s="82">
        <f>SUM(J51)</f>
        <v>1600</v>
      </c>
      <c r="K52" s="81"/>
      <c r="L52" s="82">
        <v>1600.0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7"/>
      <c r="B54" s="47" t="s">
        <v>4</v>
      </c>
      <c r="C54" s="47"/>
      <c r="D54" s="47"/>
      <c r="E54" s="47"/>
      <c r="F54" s="47"/>
      <c r="G54" s="47"/>
      <c r="H54" s="47"/>
      <c r="I54" s="47"/>
      <c r="J54" s="57">
        <f>SUM(J32:J53)/2</f>
        <v>82705.30855</v>
      </c>
      <c r="K54" s="47"/>
      <c r="L54" s="57">
        <v>83850.0</v>
      </c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16"/>
      <c r="K55" s="43"/>
      <c r="L55" s="16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7"/>
      <c r="B56" s="47" t="s">
        <v>5</v>
      </c>
      <c r="C56" s="47"/>
      <c r="D56" s="47"/>
      <c r="E56" s="47"/>
      <c r="F56" s="47"/>
      <c r="G56" s="47"/>
      <c r="H56" s="47"/>
      <c r="I56" s="47"/>
      <c r="J56" s="57">
        <f>J31-J54</f>
        <v>-39735.06685</v>
      </c>
      <c r="K56" s="47"/>
      <c r="L56" s="57">
        <v>-14435.0</v>
      </c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9"/>
      <c r="H187" s="49"/>
      <c r="I187" s="49"/>
      <c r="J187" s="49"/>
      <c r="K187" s="49"/>
      <c r="L187" s="99"/>
      <c r="M187" s="49"/>
      <c r="N187" s="49"/>
      <c r="O187" s="49"/>
      <c r="P187" s="49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9"/>
      <c r="H188" s="49"/>
      <c r="I188" s="49"/>
      <c r="J188" s="49"/>
      <c r="K188" s="49"/>
      <c r="L188" s="99"/>
      <c r="M188" s="49"/>
      <c r="N188" s="49"/>
      <c r="O188" s="49"/>
      <c r="P188" s="49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9"/>
      <c r="H189" s="49"/>
      <c r="I189" s="49"/>
      <c r="J189" s="49"/>
      <c r="K189" s="49"/>
      <c r="L189" s="99"/>
      <c r="M189" s="49"/>
      <c r="N189" s="49"/>
      <c r="O189" s="49"/>
      <c r="P189" s="49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9"/>
      <c r="H190" s="49"/>
      <c r="I190" s="49"/>
      <c r="J190" s="49"/>
      <c r="K190" s="49"/>
      <c r="L190" s="99"/>
      <c r="M190" s="49"/>
      <c r="N190" s="49"/>
      <c r="O190" s="49"/>
      <c r="P190" s="49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9"/>
      <c r="H191" s="49"/>
      <c r="I191" s="49"/>
      <c r="J191" s="49"/>
      <c r="K191" s="49"/>
      <c r="L191" s="99"/>
      <c r="M191" s="49"/>
      <c r="N191" s="49"/>
      <c r="O191" s="49"/>
      <c r="P191" s="49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9"/>
      <c r="H192" s="49"/>
      <c r="I192" s="49"/>
      <c r="J192" s="49"/>
      <c r="K192" s="49"/>
      <c r="L192" s="99"/>
      <c r="M192" s="49"/>
      <c r="N192" s="49"/>
      <c r="O192" s="49"/>
      <c r="P192" s="49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9"/>
      <c r="H193" s="49"/>
      <c r="I193" s="49"/>
      <c r="J193" s="49"/>
      <c r="K193" s="49"/>
      <c r="L193" s="99"/>
      <c r="M193" s="49"/>
      <c r="N193" s="49"/>
      <c r="O193" s="49"/>
      <c r="P193" s="49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9"/>
      <c r="H194" s="49"/>
      <c r="I194" s="49"/>
      <c r="J194" s="49"/>
      <c r="K194" s="49"/>
      <c r="L194" s="99"/>
      <c r="M194" s="49"/>
      <c r="N194" s="49"/>
      <c r="O194" s="49"/>
      <c r="P194" s="49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9"/>
      <c r="H195" s="49"/>
      <c r="I195" s="49"/>
      <c r="J195" s="49"/>
      <c r="K195" s="49"/>
      <c r="L195" s="99"/>
      <c r="M195" s="49"/>
      <c r="N195" s="49"/>
      <c r="O195" s="49"/>
      <c r="P195" s="49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9"/>
      <c r="H196" s="49"/>
      <c r="I196" s="49"/>
      <c r="J196" s="49"/>
      <c r="K196" s="49"/>
      <c r="L196" s="99"/>
      <c r="M196" s="49"/>
      <c r="N196" s="49"/>
      <c r="O196" s="49"/>
      <c r="P196" s="49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9"/>
      <c r="H197" s="49"/>
      <c r="I197" s="49"/>
      <c r="J197" s="49"/>
      <c r="K197" s="49"/>
      <c r="L197" s="99"/>
      <c r="M197" s="49"/>
      <c r="N197" s="49"/>
      <c r="O197" s="49"/>
      <c r="P197" s="49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9"/>
      <c r="H198" s="49"/>
      <c r="I198" s="49"/>
      <c r="J198" s="49"/>
      <c r="K198" s="49"/>
      <c r="L198" s="99"/>
      <c r="M198" s="49"/>
      <c r="N198" s="49"/>
      <c r="O198" s="49"/>
      <c r="P198" s="49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9"/>
      <c r="H199" s="49"/>
      <c r="I199" s="49"/>
      <c r="J199" s="49"/>
      <c r="K199" s="49"/>
      <c r="L199" s="99"/>
      <c r="M199" s="49"/>
      <c r="N199" s="49"/>
      <c r="O199" s="49"/>
      <c r="P199" s="49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9"/>
      <c r="H200" s="49"/>
      <c r="I200" s="49"/>
      <c r="J200" s="49"/>
      <c r="K200" s="49"/>
      <c r="L200" s="99"/>
      <c r="M200" s="49"/>
      <c r="N200" s="49"/>
      <c r="O200" s="49"/>
      <c r="P200" s="49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9"/>
      <c r="H201" s="49"/>
      <c r="I201" s="49"/>
      <c r="J201" s="49"/>
      <c r="K201" s="49"/>
      <c r="L201" s="99"/>
      <c r="M201" s="49"/>
      <c r="N201" s="49"/>
      <c r="O201" s="49"/>
      <c r="P201" s="49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9"/>
      <c r="H202" s="49"/>
      <c r="I202" s="49"/>
      <c r="J202" s="49"/>
      <c r="K202" s="49"/>
      <c r="L202" s="99"/>
      <c r="M202" s="49"/>
      <c r="N202" s="49"/>
      <c r="O202" s="49"/>
      <c r="P202" s="49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9"/>
      <c r="H203" s="49"/>
      <c r="I203" s="49"/>
      <c r="J203" s="49"/>
      <c r="K203" s="49"/>
      <c r="L203" s="99"/>
      <c r="M203" s="49"/>
      <c r="N203" s="49"/>
      <c r="O203" s="49"/>
      <c r="P203" s="49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9"/>
      <c r="H204" s="49"/>
      <c r="I204" s="49"/>
      <c r="J204" s="49"/>
      <c r="K204" s="49"/>
      <c r="L204" s="99"/>
      <c r="M204" s="49"/>
      <c r="N204" s="49"/>
      <c r="O204" s="49"/>
      <c r="P204" s="49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9"/>
      <c r="H205" s="49"/>
      <c r="I205" s="49"/>
      <c r="J205" s="49"/>
      <c r="K205" s="49"/>
      <c r="L205" s="99"/>
      <c r="M205" s="49"/>
      <c r="N205" s="49"/>
      <c r="O205" s="49"/>
      <c r="P205" s="49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9"/>
      <c r="H206" s="49"/>
      <c r="I206" s="49"/>
      <c r="J206" s="49"/>
      <c r="K206" s="49"/>
      <c r="L206" s="99"/>
      <c r="M206" s="49"/>
      <c r="N206" s="49"/>
      <c r="O206" s="49"/>
      <c r="P206" s="49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9"/>
      <c r="H207" s="49"/>
      <c r="I207" s="49"/>
      <c r="J207" s="49"/>
      <c r="K207" s="49"/>
      <c r="L207" s="99"/>
      <c r="M207" s="49"/>
      <c r="N207" s="49"/>
      <c r="O207" s="49"/>
      <c r="P207" s="49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9"/>
      <c r="H208" s="49"/>
      <c r="I208" s="49"/>
      <c r="J208" s="49"/>
      <c r="K208" s="49"/>
      <c r="L208" s="99"/>
      <c r="M208" s="49"/>
      <c r="N208" s="49"/>
      <c r="O208" s="49"/>
      <c r="P208" s="49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9"/>
      <c r="H209" s="49"/>
      <c r="I209" s="49"/>
      <c r="J209" s="49"/>
      <c r="K209" s="49"/>
      <c r="L209" s="99"/>
      <c r="M209" s="49"/>
      <c r="N209" s="49"/>
      <c r="O209" s="49"/>
      <c r="P209" s="49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9"/>
      <c r="H210" s="49"/>
      <c r="I210" s="49"/>
      <c r="J210" s="49"/>
      <c r="K210" s="49"/>
      <c r="L210" s="99"/>
      <c r="M210" s="49"/>
      <c r="N210" s="49"/>
      <c r="O210" s="49"/>
      <c r="P210" s="49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9"/>
      <c r="H211" s="49"/>
      <c r="I211" s="49"/>
      <c r="J211" s="49"/>
      <c r="K211" s="49"/>
      <c r="L211" s="99"/>
      <c r="M211" s="49"/>
      <c r="N211" s="49"/>
      <c r="O211" s="49"/>
      <c r="P211" s="49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9"/>
      <c r="H212" s="49"/>
      <c r="I212" s="49"/>
      <c r="J212" s="49"/>
      <c r="K212" s="49"/>
      <c r="L212" s="99"/>
      <c r="M212" s="49"/>
      <c r="N212" s="49"/>
      <c r="O212" s="49"/>
      <c r="P212" s="49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9"/>
      <c r="H213" s="49"/>
      <c r="I213" s="49"/>
      <c r="J213" s="49"/>
      <c r="K213" s="49"/>
      <c r="L213" s="99"/>
      <c r="M213" s="49"/>
      <c r="N213" s="49"/>
      <c r="O213" s="49"/>
      <c r="P213" s="49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9"/>
      <c r="H214" s="49"/>
      <c r="I214" s="49"/>
      <c r="J214" s="49"/>
      <c r="K214" s="49"/>
      <c r="L214" s="99"/>
      <c r="M214" s="49"/>
      <c r="N214" s="49"/>
      <c r="O214" s="49"/>
      <c r="P214" s="49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9"/>
      <c r="H215" s="49"/>
      <c r="I215" s="49"/>
      <c r="J215" s="49"/>
      <c r="K215" s="49"/>
      <c r="L215" s="99"/>
      <c r="M215" s="49"/>
      <c r="N215" s="49"/>
      <c r="O215" s="49"/>
      <c r="P215" s="49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9"/>
      <c r="H216" s="49"/>
      <c r="I216" s="49"/>
      <c r="J216" s="49"/>
      <c r="K216" s="49"/>
      <c r="L216" s="99"/>
      <c r="M216" s="49"/>
      <c r="N216" s="49"/>
      <c r="O216" s="49"/>
      <c r="P216" s="49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9"/>
      <c r="H217" s="49"/>
      <c r="I217" s="49"/>
      <c r="J217" s="49"/>
      <c r="K217" s="49"/>
      <c r="L217" s="99"/>
      <c r="M217" s="49"/>
      <c r="N217" s="49"/>
      <c r="O217" s="49"/>
      <c r="P217" s="49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9"/>
      <c r="H218" s="49"/>
      <c r="I218" s="49"/>
      <c r="J218" s="49"/>
      <c r="K218" s="49"/>
      <c r="L218" s="99"/>
      <c r="M218" s="49"/>
      <c r="N218" s="49"/>
      <c r="O218" s="49"/>
      <c r="P218" s="49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9"/>
      <c r="H219" s="49"/>
      <c r="I219" s="49"/>
      <c r="J219" s="49"/>
      <c r="K219" s="49"/>
      <c r="L219" s="99"/>
      <c r="M219" s="49"/>
      <c r="N219" s="49"/>
      <c r="O219" s="49"/>
      <c r="P219" s="49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9"/>
      <c r="H220" s="49"/>
      <c r="I220" s="49"/>
      <c r="J220" s="49"/>
      <c r="K220" s="49"/>
      <c r="L220" s="99"/>
      <c r="M220" s="49"/>
      <c r="N220" s="49"/>
      <c r="O220" s="49"/>
      <c r="P220" s="49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9"/>
      <c r="H221" s="49"/>
      <c r="I221" s="49"/>
      <c r="J221" s="49"/>
      <c r="K221" s="49"/>
      <c r="L221" s="99"/>
      <c r="M221" s="49"/>
      <c r="N221" s="49"/>
      <c r="O221" s="49"/>
      <c r="P221" s="49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9"/>
      <c r="H222" s="49"/>
      <c r="I222" s="49"/>
      <c r="J222" s="49"/>
      <c r="K222" s="49"/>
      <c r="L222" s="99"/>
      <c r="M222" s="49"/>
      <c r="N222" s="49"/>
      <c r="O222" s="49"/>
      <c r="P222" s="49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9"/>
      <c r="H223" s="49"/>
      <c r="I223" s="49"/>
      <c r="J223" s="49"/>
      <c r="K223" s="49"/>
      <c r="L223" s="99"/>
      <c r="M223" s="49"/>
      <c r="N223" s="49"/>
      <c r="O223" s="49"/>
      <c r="P223" s="49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9"/>
      <c r="H224" s="49"/>
      <c r="I224" s="49"/>
      <c r="J224" s="49"/>
      <c r="K224" s="49"/>
      <c r="L224" s="99"/>
      <c r="M224" s="49"/>
      <c r="N224" s="49"/>
      <c r="O224" s="49"/>
      <c r="P224" s="49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9"/>
      <c r="H225" s="49"/>
      <c r="I225" s="49"/>
      <c r="J225" s="49"/>
      <c r="K225" s="49"/>
      <c r="L225" s="99"/>
      <c r="M225" s="49"/>
      <c r="N225" s="49"/>
      <c r="O225" s="49"/>
      <c r="P225" s="49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9"/>
      <c r="H226" s="49"/>
      <c r="I226" s="49"/>
      <c r="J226" s="49"/>
      <c r="K226" s="49"/>
      <c r="L226" s="99"/>
      <c r="M226" s="49"/>
      <c r="N226" s="49"/>
      <c r="O226" s="49"/>
      <c r="P226" s="49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9"/>
      <c r="H227" s="49"/>
      <c r="I227" s="49"/>
      <c r="J227" s="49"/>
      <c r="K227" s="49"/>
      <c r="L227" s="99"/>
      <c r="M227" s="49"/>
      <c r="N227" s="49"/>
      <c r="O227" s="49"/>
      <c r="P227" s="49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9"/>
      <c r="H228" s="49"/>
      <c r="I228" s="49"/>
      <c r="J228" s="49"/>
      <c r="K228" s="49"/>
      <c r="L228" s="99"/>
      <c r="M228" s="49"/>
      <c r="N228" s="49"/>
      <c r="O228" s="49"/>
      <c r="P228" s="49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9"/>
      <c r="H229" s="49"/>
      <c r="I229" s="49"/>
      <c r="J229" s="49"/>
      <c r="K229" s="49"/>
      <c r="L229" s="99"/>
      <c r="M229" s="49"/>
      <c r="N229" s="49"/>
      <c r="O229" s="49"/>
      <c r="P229" s="49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9"/>
      <c r="H230" s="49"/>
      <c r="I230" s="49"/>
      <c r="J230" s="49"/>
      <c r="K230" s="49"/>
      <c r="L230" s="99"/>
      <c r="M230" s="49"/>
      <c r="N230" s="49"/>
      <c r="O230" s="49"/>
      <c r="P230" s="49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9"/>
      <c r="H231" s="49"/>
      <c r="I231" s="49"/>
      <c r="J231" s="49"/>
      <c r="K231" s="49"/>
      <c r="L231" s="99"/>
      <c r="M231" s="49"/>
      <c r="N231" s="49"/>
      <c r="O231" s="49"/>
      <c r="P231" s="49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9"/>
      <c r="H232" s="49"/>
      <c r="I232" s="49"/>
      <c r="J232" s="49"/>
      <c r="K232" s="49"/>
      <c r="L232" s="99"/>
      <c r="M232" s="49"/>
      <c r="N232" s="49"/>
      <c r="O232" s="49"/>
      <c r="P232" s="49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9"/>
      <c r="H233" s="49"/>
      <c r="I233" s="49"/>
      <c r="J233" s="49"/>
      <c r="K233" s="49"/>
      <c r="L233" s="99"/>
      <c r="M233" s="49"/>
      <c r="N233" s="49"/>
      <c r="O233" s="49"/>
      <c r="P233" s="49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9"/>
      <c r="H234" s="49"/>
      <c r="I234" s="49"/>
      <c r="J234" s="49"/>
      <c r="K234" s="49"/>
      <c r="L234" s="99"/>
      <c r="M234" s="49"/>
      <c r="N234" s="49"/>
      <c r="O234" s="49"/>
      <c r="P234" s="49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9"/>
      <c r="H235" s="49"/>
      <c r="I235" s="49"/>
      <c r="J235" s="49"/>
      <c r="K235" s="49"/>
      <c r="L235" s="99"/>
      <c r="M235" s="49"/>
      <c r="N235" s="49"/>
      <c r="O235" s="49"/>
      <c r="P235" s="49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9"/>
      <c r="H236" s="49"/>
      <c r="I236" s="49"/>
      <c r="J236" s="49"/>
      <c r="K236" s="49"/>
      <c r="L236" s="99"/>
      <c r="M236" s="49"/>
      <c r="N236" s="49"/>
      <c r="O236" s="49"/>
      <c r="P236" s="49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9"/>
      <c r="H237" s="49"/>
      <c r="I237" s="49"/>
      <c r="J237" s="49"/>
      <c r="K237" s="49"/>
      <c r="L237" s="99"/>
      <c r="M237" s="49"/>
      <c r="N237" s="49"/>
      <c r="O237" s="49"/>
      <c r="P237" s="49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9"/>
      <c r="H238" s="49"/>
      <c r="I238" s="49"/>
      <c r="J238" s="49"/>
      <c r="K238" s="49"/>
      <c r="L238" s="99"/>
      <c r="M238" s="49"/>
      <c r="N238" s="49"/>
      <c r="O238" s="49"/>
      <c r="P238" s="49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9"/>
      <c r="H239" s="49"/>
      <c r="I239" s="49"/>
      <c r="J239" s="49"/>
      <c r="K239" s="49"/>
      <c r="L239" s="99"/>
      <c r="M239" s="49"/>
      <c r="N239" s="49"/>
      <c r="O239" s="49"/>
      <c r="P239" s="49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9"/>
      <c r="H240" s="49"/>
      <c r="I240" s="49"/>
      <c r="J240" s="49"/>
      <c r="K240" s="49"/>
      <c r="L240" s="99"/>
      <c r="M240" s="49"/>
      <c r="N240" s="49"/>
      <c r="O240" s="49"/>
      <c r="P240" s="49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9"/>
      <c r="H241" s="49"/>
      <c r="I241" s="49"/>
      <c r="J241" s="49"/>
      <c r="K241" s="49"/>
      <c r="L241" s="99"/>
      <c r="M241" s="49"/>
      <c r="N241" s="49"/>
      <c r="O241" s="49"/>
      <c r="P241" s="49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9"/>
      <c r="H242" s="49"/>
      <c r="I242" s="49"/>
      <c r="J242" s="49"/>
      <c r="K242" s="49"/>
      <c r="L242" s="99"/>
      <c r="M242" s="49"/>
      <c r="N242" s="49"/>
      <c r="O242" s="49"/>
      <c r="P242" s="49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9"/>
      <c r="H243" s="49"/>
      <c r="I243" s="49"/>
      <c r="J243" s="49"/>
      <c r="K243" s="49"/>
      <c r="L243" s="99"/>
      <c r="M243" s="49"/>
      <c r="N243" s="49"/>
      <c r="O243" s="49"/>
      <c r="P243" s="49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9"/>
      <c r="H244" s="49"/>
      <c r="I244" s="49"/>
      <c r="J244" s="49"/>
      <c r="K244" s="49"/>
      <c r="L244" s="99"/>
      <c r="M244" s="49"/>
      <c r="N244" s="49"/>
      <c r="O244" s="49"/>
      <c r="P244" s="49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9"/>
      <c r="H245" s="49"/>
      <c r="I245" s="49"/>
      <c r="J245" s="49"/>
      <c r="K245" s="49"/>
      <c r="L245" s="99"/>
      <c r="M245" s="49"/>
      <c r="N245" s="49"/>
      <c r="O245" s="49"/>
      <c r="P245" s="49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9"/>
      <c r="H246" s="49"/>
      <c r="I246" s="49"/>
      <c r="J246" s="49"/>
      <c r="K246" s="49"/>
      <c r="L246" s="99"/>
      <c r="M246" s="49"/>
      <c r="N246" s="49"/>
      <c r="O246" s="49"/>
      <c r="P246" s="49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9"/>
      <c r="H247" s="49"/>
      <c r="I247" s="49"/>
      <c r="J247" s="49"/>
      <c r="K247" s="49"/>
      <c r="L247" s="99"/>
      <c r="M247" s="49"/>
      <c r="N247" s="49"/>
      <c r="O247" s="49"/>
      <c r="P247" s="49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9"/>
      <c r="H248" s="49"/>
      <c r="I248" s="49"/>
      <c r="J248" s="49"/>
      <c r="K248" s="49"/>
      <c r="L248" s="99"/>
      <c r="M248" s="49"/>
      <c r="N248" s="49"/>
      <c r="O248" s="49"/>
      <c r="P248" s="49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9"/>
      <c r="H249" s="49"/>
      <c r="I249" s="49"/>
      <c r="J249" s="49"/>
      <c r="K249" s="49"/>
      <c r="L249" s="99"/>
      <c r="M249" s="49"/>
      <c r="N249" s="49"/>
      <c r="O249" s="49"/>
      <c r="P249" s="49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9"/>
      <c r="H250" s="49"/>
      <c r="I250" s="49"/>
      <c r="J250" s="49"/>
      <c r="K250" s="49"/>
      <c r="L250" s="99"/>
      <c r="M250" s="49"/>
      <c r="N250" s="49"/>
      <c r="O250" s="49"/>
      <c r="P250" s="49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9"/>
      <c r="H251" s="49"/>
      <c r="I251" s="49"/>
      <c r="J251" s="49"/>
      <c r="K251" s="49"/>
      <c r="L251" s="99"/>
      <c r="M251" s="49"/>
      <c r="N251" s="49"/>
      <c r="O251" s="49"/>
      <c r="P251" s="49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9"/>
      <c r="H252" s="49"/>
      <c r="I252" s="49"/>
      <c r="J252" s="49"/>
      <c r="K252" s="49"/>
      <c r="L252" s="99"/>
      <c r="M252" s="49"/>
      <c r="N252" s="49"/>
      <c r="O252" s="49"/>
      <c r="P252" s="49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9"/>
      <c r="H253" s="49"/>
      <c r="I253" s="49"/>
      <c r="J253" s="49"/>
      <c r="K253" s="49"/>
      <c r="L253" s="99"/>
      <c r="M253" s="49"/>
      <c r="N253" s="49"/>
      <c r="O253" s="49"/>
      <c r="P253" s="49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9"/>
      <c r="H254" s="49"/>
      <c r="I254" s="49"/>
      <c r="J254" s="49"/>
      <c r="K254" s="49"/>
      <c r="L254" s="99"/>
      <c r="M254" s="49"/>
      <c r="N254" s="49"/>
      <c r="O254" s="49"/>
      <c r="P254" s="49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9"/>
      <c r="H255" s="49"/>
      <c r="I255" s="49"/>
      <c r="J255" s="49"/>
      <c r="K255" s="49"/>
      <c r="L255" s="99"/>
      <c r="M255" s="49"/>
      <c r="N255" s="49"/>
      <c r="O255" s="49"/>
      <c r="P255" s="49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9"/>
      <c r="H256" s="49"/>
      <c r="I256" s="49"/>
      <c r="J256" s="49"/>
      <c r="K256" s="49"/>
      <c r="L256" s="99"/>
      <c r="M256" s="49"/>
      <c r="N256" s="49"/>
      <c r="O256" s="49"/>
      <c r="P256" s="49"/>
      <c r="Q256" s="43"/>
      <c r="R256" s="43"/>
      <c r="S256" s="43"/>
      <c r="T256" s="43"/>
      <c r="U256" s="43"/>
      <c r="V256" s="43"/>
      <c r="W256" s="43"/>
      <c r="X256" s="43"/>
    </row>
    <row r="257" ht="15.75" customHeight="1">
      <c r="G257" s="49"/>
      <c r="H257" s="49"/>
      <c r="I257" s="49"/>
      <c r="J257" s="49"/>
      <c r="K257" s="49"/>
      <c r="L257" s="49"/>
      <c r="M257" s="49"/>
      <c r="N257" s="49"/>
      <c r="O257" s="49"/>
      <c r="P257" s="49"/>
    </row>
    <row r="258" ht="15.75" customHeight="1">
      <c r="G258" s="49"/>
      <c r="H258" s="49"/>
      <c r="I258" s="49"/>
      <c r="J258" s="49"/>
      <c r="K258" s="49"/>
      <c r="L258" s="49"/>
      <c r="M258" s="49"/>
      <c r="N258" s="49"/>
      <c r="O258" s="49"/>
      <c r="P258" s="49"/>
    </row>
    <row r="259" ht="15.75" customHeight="1">
      <c r="G259" s="49"/>
      <c r="H259" s="49"/>
      <c r="I259" s="49"/>
      <c r="J259" s="49"/>
      <c r="K259" s="49"/>
      <c r="L259" s="49"/>
      <c r="M259" s="49"/>
      <c r="N259" s="49"/>
      <c r="O259" s="49"/>
      <c r="P259" s="49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12 J16 J20:J23 J27:J28 J34:J35 J39:J43 J46:J47 J51">
    <cfRule type="cellIs" dxfId="0" priority="1" operator="greaterThan">
      <formula>L12</formula>
    </cfRule>
  </conditionalFormatting>
  <conditionalFormatting sqref="J12 J16 J20:J23 J27:J28 J34:J35 J39:J43 J46:J47 J51">
    <cfRule type="cellIs" dxfId="1" priority="2" operator="lessThan">
      <formula>L12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2.0"/>
    <col customWidth="1" min="6" max="6" width="9.13"/>
    <col customWidth="1" min="7" max="7" width="1.88"/>
    <col customWidth="1" min="8" max="8" width="12.75"/>
    <col customWidth="1" min="9" max="9" width="1.88"/>
    <col customWidth="1" min="10" max="10" width="16.88"/>
    <col customWidth="1" min="12" max="12" width="12.38"/>
  </cols>
  <sheetData>
    <row r="1">
      <c r="A1" s="40" t="s">
        <v>64</v>
      </c>
      <c r="B1" s="40" t="s">
        <v>137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547</v>
      </c>
      <c r="D2" s="42"/>
      <c r="E2" s="42"/>
      <c r="F2" s="42"/>
      <c r="G2" s="42"/>
      <c r="H2" s="42"/>
      <c r="I2" s="42"/>
      <c r="J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J22</f>
        <v>92034.05916</v>
      </c>
      <c r="K6" s="42"/>
      <c r="L6" s="37">
        <v>148650.0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J39</f>
        <v>63769.90313</v>
      </c>
      <c r="K7" s="42"/>
      <c r="L7" s="37">
        <v>95514.0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28264.15603</v>
      </c>
      <c r="K8" s="42"/>
      <c r="L8" s="37">
        <v>53136.0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87">
        <v>3000.0</v>
      </c>
      <c r="B11" s="71" t="s">
        <v>172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3"/>
      <c r="B12" s="54" t="s">
        <v>516</v>
      </c>
      <c r="C12" s="43"/>
      <c r="D12" s="43"/>
      <c r="E12" s="43"/>
      <c r="F12" s="43"/>
      <c r="G12" s="43"/>
      <c r="H12" s="43"/>
      <c r="I12" s="43"/>
      <c r="J12" s="59">
        <v>1000.0</v>
      </c>
      <c r="K12" s="43"/>
      <c r="L12" s="59">
        <v>0.0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81" t="s">
        <v>147</v>
      </c>
      <c r="C13" s="81"/>
      <c r="D13" s="81"/>
      <c r="E13" s="81"/>
      <c r="F13" s="81"/>
      <c r="G13" s="81"/>
      <c r="H13" s="81"/>
      <c r="I13" s="81"/>
      <c r="J13" s="82">
        <f>SUM(J11:J12)</f>
        <v>1000</v>
      </c>
      <c r="K13" s="81"/>
      <c r="L13" s="82">
        <f>SUM(L11:L12)</f>
        <v>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52"/>
      <c r="C14" s="52"/>
      <c r="D14" s="52"/>
      <c r="E14" s="52"/>
      <c r="F14" s="52"/>
      <c r="G14" s="52"/>
      <c r="H14" s="52"/>
      <c r="I14" s="52"/>
      <c r="J14" s="73"/>
      <c r="K14" s="52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80" t="s">
        <v>519</v>
      </c>
      <c r="B15" s="52" t="s">
        <v>520</v>
      </c>
      <c r="C15" s="52"/>
      <c r="D15" s="52"/>
      <c r="E15" s="52"/>
      <c r="F15" s="52"/>
      <c r="G15" s="52"/>
      <c r="H15" s="52"/>
      <c r="I15" s="52"/>
      <c r="J15" s="73"/>
      <c r="K15" s="52"/>
      <c r="L15" s="73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521</v>
      </c>
      <c r="D16" s="16"/>
      <c r="F16" s="123">
        <f>Parametrar!$I$33</f>
        <v>1.44</v>
      </c>
      <c r="G16" s="124" t="s">
        <v>118</v>
      </c>
      <c r="H16" s="16">
        <f t="shared" ref="H16:H19" si="1">J25</f>
        <v>12120.75752</v>
      </c>
      <c r="I16" s="62" t="s">
        <v>119</v>
      </c>
      <c r="J16" s="59">
        <f t="shared" ref="J16:J19" si="2">F16*H16</f>
        <v>17453.89083</v>
      </c>
      <c r="L16" s="16">
        <v>28710.000000000004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43" t="s">
        <v>522</v>
      </c>
      <c r="D17" s="16"/>
      <c r="F17" s="123">
        <f>Parametrar!$I$34</f>
        <v>1.35</v>
      </c>
      <c r="G17" s="124" t="s">
        <v>118</v>
      </c>
      <c r="H17" s="16">
        <f t="shared" si="1"/>
        <v>9508.921452</v>
      </c>
      <c r="I17" s="62" t="s">
        <v>119</v>
      </c>
      <c r="J17" s="59">
        <f t="shared" si="2"/>
        <v>12837.04396</v>
      </c>
      <c r="L17" s="16">
        <v>19800.0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 t="s">
        <v>523</v>
      </c>
      <c r="D18" s="16"/>
      <c r="F18" s="123">
        <f>Parametrar!$I$35</f>
        <v>1.44</v>
      </c>
      <c r="G18" s="124" t="s">
        <v>118</v>
      </c>
      <c r="H18" s="16">
        <f t="shared" si="1"/>
        <v>0</v>
      </c>
      <c r="I18" s="62" t="s">
        <v>119</v>
      </c>
      <c r="J18" s="59">
        <f t="shared" si="2"/>
        <v>0</v>
      </c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131</v>
      </c>
      <c r="D19" s="16"/>
      <c r="F19" s="123">
        <f>Parametrar!$I$36</f>
        <v>2.7</v>
      </c>
      <c r="G19" s="124" t="s">
        <v>118</v>
      </c>
      <c r="H19" s="16">
        <f t="shared" si="1"/>
        <v>22497.45347</v>
      </c>
      <c r="I19" s="62" t="s">
        <v>119</v>
      </c>
      <c r="J19" s="59">
        <f t="shared" si="2"/>
        <v>60743.12436</v>
      </c>
      <c r="L19" s="16">
        <v>99000.0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SUM(J16:J19)</f>
        <v>91034.05916</v>
      </c>
      <c r="K20" s="81"/>
      <c r="L20" s="82">
        <v>147510.0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7"/>
      <c r="B22" s="47" t="s">
        <v>3</v>
      </c>
      <c r="C22" s="47"/>
      <c r="D22" s="47"/>
      <c r="E22" s="47"/>
      <c r="F22" s="47"/>
      <c r="G22" s="47"/>
      <c r="H22" s="47"/>
      <c r="I22" s="47"/>
      <c r="J22" s="57">
        <f>SUM(J11:J21)/2</f>
        <v>92034.05916</v>
      </c>
      <c r="K22" s="47"/>
      <c r="L22" s="57">
        <v>148650.0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49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80" t="s">
        <v>526</v>
      </c>
      <c r="B24" s="52" t="s">
        <v>527</v>
      </c>
      <c r="D24" s="43"/>
      <c r="F24" s="43"/>
      <c r="I24" s="43"/>
      <c r="J24" s="16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521</v>
      </c>
      <c r="D25" s="16"/>
      <c r="E25" s="43"/>
      <c r="F25" s="123">
        <f>Parametrar!$I$64</f>
        <v>0.1106526411</v>
      </c>
      <c r="G25" s="54" t="s">
        <v>118</v>
      </c>
      <c r="H25" s="59">
        <f>Parametrar!$I$23</f>
        <v>109538.8</v>
      </c>
      <c r="I25" s="62" t="s">
        <v>119</v>
      </c>
      <c r="J25" s="59">
        <f t="shared" ref="J25:J28" si="3">F25*H25</f>
        <v>12120.75752</v>
      </c>
      <c r="L25" s="16">
        <v>15750.0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522</v>
      </c>
      <c r="D26" s="59"/>
      <c r="E26" s="43"/>
      <c r="F26" s="123">
        <f>Parametrar!$I$65</f>
        <v>0.2078480944</v>
      </c>
      <c r="G26" s="54" t="s">
        <v>118</v>
      </c>
      <c r="H26" s="59">
        <f>Parametrar!$I$24</f>
        <v>45749.38</v>
      </c>
      <c r="I26" s="62" t="s">
        <v>119</v>
      </c>
      <c r="J26" s="59">
        <f t="shared" si="3"/>
        <v>9508.921452</v>
      </c>
      <c r="L26" s="16">
        <v>11700.0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523</v>
      </c>
      <c r="C27" s="43"/>
      <c r="D27" s="16"/>
      <c r="E27" s="43"/>
      <c r="F27" s="123">
        <f>Parametrar!$I$66</f>
        <v>0</v>
      </c>
      <c r="G27" s="54" t="s">
        <v>118</v>
      </c>
      <c r="H27" s="59">
        <f>Parametrar!$I$25</f>
        <v>85382.75</v>
      </c>
      <c r="I27" s="62" t="s">
        <v>119</v>
      </c>
      <c r="J27" s="59">
        <f t="shared" si="3"/>
        <v>0</v>
      </c>
      <c r="L27" s="59">
        <v>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131</v>
      </c>
      <c r="C28" s="43"/>
      <c r="D28" s="16"/>
      <c r="E28" s="43"/>
      <c r="F28" s="123">
        <f>Parametrar!$I$67</f>
        <v>0.2381527152</v>
      </c>
      <c r="G28" s="54" t="s">
        <v>118</v>
      </c>
      <c r="H28" s="59">
        <f>Parametrar!$I$26</f>
        <v>94466.5</v>
      </c>
      <c r="I28" s="62" t="s">
        <v>119</v>
      </c>
      <c r="J28" s="59">
        <f t="shared" si="3"/>
        <v>22497.45347</v>
      </c>
      <c r="K28" s="43"/>
      <c r="L28" s="16">
        <v>31500.0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SUM(J25:J28)</f>
        <v>44127.13244</v>
      </c>
      <c r="K29" s="81"/>
      <c r="L29" s="82">
        <v>58950.0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52"/>
      <c r="C30" s="43"/>
      <c r="D30" s="43"/>
      <c r="E30" s="43"/>
      <c r="F30" s="43"/>
      <c r="G30" s="43"/>
      <c r="H30" s="43"/>
      <c r="I30" s="43"/>
      <c r="J30" s="73"/>
      <c r="K30" s="43"/>
      <c r="L30" s="7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80">
        <v>4101.0</v>
      </c>
      <c r="B31" s="52" t="s">
        <v>255</v>
      </c>
      <c r="C31" s="52"/>
      <c r="D31" s="52"/>
      <c r="E31" s="52"/>
      <c r="F31" s="52"/>
      <c r="G31" s="52"/>
      <c r="H31" s="52"/>
      <c r="I31" s="52"/>
      <c r="J31" s="73"/>
      <c r="K31" s="52"/>
      <c r="L31" s="7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516</v>
      </c>
      <c r="H32" s="16"/>
      <c r="I32" s="43"/>
      <c r="J32" s="59">
        <v>800.0</v>
      </c>
      <c r="L32" s="16">
        <v>1140.0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81" t="s">
        <v>147</v>
      </c>
      <c r="C33" s="81"/>
      <c r="D33" s="81"/>
      <c r="E33" s="81"/>
      <c r="F33" s="81"/>
      <c r="G33" s="81"/>
      <c r="H33" s="81"/>
      <c r="I33" s="81"/>
      <c r="J33" s="82">
        <f>SUM(J32)</f>
        <v>800</v>
      </c>
      <c r="K33" s="81"/>
      <c r="L33" s="82">
        <v>1140.0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52"/>
      <c r="C34" s="43"/>
      <c r="D34" s="43"/>
      <c r="E34" s="43"/>
      <c r="F34" s="43"/>
      <c r="G34" s="43"/>
      <c r="H34" s="43"/>
      <c r="I34" s="43"/>
      <c r="J34" s="73"/>
      <c r="K34" s="43"/>
      <c r="L34" s="7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80">
        <v>8510.0</v>
      </c>
      <c r="B35" s="52" t="s">
        <v>197</v>
      </c>
      <c r="C35" s="52"/>
      <c r="D35" s="52"/>
      <c r="E35" s="52"/>
      <c r="F35" s="52"/>
      <c r="G35" s="52"/>
      <c r="H35" s="52"/>
      <c r="I35" s="52"/>
      <c r="J35" s="73"/>
      <c r="K35" s="52"/>
      <c r="L35" s="7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198</v>
      </c>
      <c r="H36" s="16"/>
      <c r="I36" s="43"/>
      <c r="J36" s="16">
        <f>(J22-J29-J33)*0.4</f>
        <v>18842.77069</v>
      </c>
      <c r="L36" s="16">
        <v>35424.0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81" t="s">
        <v>147</v>
      </c>
      <c r="C37" s="81"/>
      <c r="D37" s="81"/>
      <c r="E37" s="81"/>
      <c r="F37" s="81"/>
      <c r="G37" s="81"/>
      <c r="H37" s="81"/>
      <c r="I37" s="81"/>
      <c r="J37" s="82">
        <f>SUM(J36)</f>
        <v>18842.77069</v>
      </c>
      <c r="K37" s="81"/>
      <c r="L37" s="82">
        <v>35424.0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7"/>
      <c r="B39" s="47" t="s">
        <v>4</v>
      </c>
      <c r="C39" s="47"/>
      <c r="D39" s="47"/>
      <c r="E39" s="47"/>
      <c r="F39" s="47"/>
      <c r="G39" s="47"/>
      <c r="H39" s="47"/>
      <c r="I39" s="47"/>
      <c r="J39" s="57">
        <f>SUM(J23:J38)/2</f>
        <v>63769.90313</v>
      </c>
      <c r="K39" s="47"/>
      <c r="L39" s="57">
        <v>95514.0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K40" s="43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7"/>
      <c r="B41" s="47" t="s">
        <v>5</v>
      </c>
      <c r="C41" s="47"/>
      <c r="D41" s="47"/>
      <c r="E41" s="47"/>
      <c r="F41" s="47"/>
      <c r="G41" s="47"/>
      <c r="H41" s="47"/>
      <c r="I41" s="47"/>
      <c r="J41" s="57">
        <f>J22-J39</f>
        <v>28264.15603</v>
      </c>
      <c r="K41" s="47"/>
      <c r="L41" s="57">
        <v>53136.0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12 J16:J19 J25:J28 J32 J36">
    <cfRule type="cellIs" dxfId="0" priority="1" operator="greaterThan">
      <formula>L12</formula>
    </cfRule>
  </conditionalFormatting>
  <conditionalFormatting sqref="J12 J16:J19 J25:J28 J32 J36">
    <cfRule type="cellIs" dxfId="1" priority="2" operator="lessThan">
      <formula>L12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</cols>
  <sheetData>
    <row r="1" ht="15.75" customHeight="1">
      <c r="A1" s="40" t="s">
        <v>67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548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J31</f>
        <v>1242</v>
      </c>
      <c r="K7" s="42"/>
      <c r="L7" s="37">
        <v>3820.0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-1242</v>
      </c>
      <c r="K8" s="42"/>
      <c r="L8" s="37">
        <v>-3820.0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549</v>
      </c>
      <c r="C19" s="43"/>
      <c r="D19" s="43"/>
      <c r="E19" s="43"/>
      <c r="F19" s="43"/>
      <c r="G19" s="43"/>
      <c r="H19" s="16"/>
      <c r="I19" s="43"/>
      <c r="J19" s="59">
        <v>0.0</v>
      </c>
      <c r="K19" s="43"/>
      <c r="L19" s="16">
        <v>350.0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550</v>
      </c>
      <c r="C20" s="43"/>
      <c r="D20" s="43"/>
      <c r="E20" s="43"/>
      <c r="F20" s="43"/>
      <c r="H20" s="16"/>
      <c r="I20" s="43"/>
      <c r="J20" s="59">
        <v>0.0</v>
      </c>
      <c r="K20" s="43"/>
      <c r="L20" s="16">
        <v>350.0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551</v>
      </c>
      <c r="C21" s="43"/>
      <c r="D21" s="43"/>
      <c r="E21" s="43"/>
      <c r="F21" s="43"/>
      <c r="G21" s="43"/>
      <c r="H21" s="16"/>
      <c r="I21" s="43"/>
      <c r="J21" s="59">
        <v>0.0</v>
      </c>
      <c r="K21" s="43"/>
      <c r="L21" s="16">
        <v>1050.0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81" t="s">
        <v>147</v>
      </c>
      <c r="C22" s="81"/>
      <c r="D22" s="81"/>
      <c r="E22" s="81"/>
      <c r="F22" s="81"/>
      <c r="G22" s="81"/>
      <c r="H22" s="81"/>
      <c r="I22" s="81"/>
      <c r="J22" s="82">
        <f>SUM(J19:J21)</f>
        <v>0</v>
      </c>
      <c r="K22" s="81"/>
      <c r="L22" s="82">
        <v>1750.0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52"/>
      <c r="C23" s="43"/>
      <c r="D23" s="43"/>
      <c r="E23" s="43"/>
      <c r="F23" s="43"/>
      <c r="G23" s="43"/>
      <c r="H23" s="43"/>
      <c r="I23" s="43"/>
      <c r="J23" s="73"/>
      <c r="K23" s="43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80">
        <v>7600.0</v>
      </c>
      <c r="B24" s="52" t="s">
        <v>157</v>
      </c>
      <c r="C24" s="43"/>
      <c r="D24" s="43"/>
      <c r="E24" s="43"/>
      <c r="F24" s="43"/>
      <c r="G24" s="43"/>
      <c r="H24" s="43"/>
      <c r="I24" s="43"/>
      <c r="J24" s="16"/>
      <c r="K24" s="43"/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552</v>
      </c>
      <c r="C25" s="43"/>
      <c r="D25" s="43"/>
      <c r="E25" s="43"/>
      <c r="F25" s="43"/>
      <c r="G25" s="43"/>
      <c r="H25" s="16"/>
      <c r="I25" s="43"/>
      <c r="J25" s="16">
        <f>Parametrar!$I$8</f>
        <v>207</v>
      </c>
      <c r="K25" s="43"/>
      <c r="L25" s="16">
        <v>414.0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553</v>
      </c>
      <c r="C26" s="43"/>
      <c r="D26" s="43"/>
      <c r="E26" s="43"/>
      <c r="F26" s="43"/>
      <c r="H26" s="16"/>
      <c r="I26" s="43"/>
      <c r="J26" s="16">
        <f>Parametrar!$I$8</f>
        <v>207</v>
      </c>
      <c r="K26" s="43"/>
      <c r="L26" s="16">
        <v>414.0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554</v>
      </c>
      <c r="C27" s="43"/>
      <c r="D27" s="43"/>
      <c r="E27" s="43"/>
      <c r="F27" s="54">
        <v>4.0</v>
      </c>
      <c r="G27" s="43" t="s">
        <v>155</v>
      </c>
      <c r="H27" s="16">
        <f>Parametrar!$I$8</f>
        <v>207</v>
      </c>
      <c r="I27" s="84" t="s">
        <v>119</v>
      </c>
      <c r="J27" s="16">
        <f t="shared" ref="J27:J28" si="1">F27*H27</f>
        <v>828</v>
      </c>
      <c r="K27" s="43"/>
      <c r="L27" s="16">
        <v>1242.0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168</v>
      </c>
      <c r="C28" s="43"/>
      <c r="D28" s="43"/>
      <c r="E28" s="43"/>
      <c r="F28" s="43">
        <v>0.0</v>
      </c>
      <c r="G28" s="43" t="s">
        <v>118</v>
      </c>
      <c r="H28" s="16">
        <f>Parametrar!$I$8</f>
        <v>207</v>
      </c>
      <c r="I28" s="84" t="s">
        <v>119</v>
      </c>
      <c r="J28" s="16">
        <f t="shared" si="1"/>
        <v>0</v>
      </c>
      <c r="K28" s="43"/>
      <c r="L28" s="16">
        <v>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81" t="s">
        <v>147</v>
      </c>
      <c r="C29" s="31"/>
      <c r="D29" s="31"/>
      <c r="E29" s="31"/>
      <c r="F29" s="31"/>
      <c r="G29" s="31"/>
      <c r="H29" s="31"/>
      <c r="I29" s="31"/>
      <c r="J29" s="82">
        <f>SUM(J25:J28)</f>
        <v>1242</v>
      </c>
      <c r="K29" s="31"/>
      <c r="L29" s="82">
        <v>2070.0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7"/>
      <c r="B31" s="47" t="s">
        <v>4</v>
      </c>
      <c r="C31" s="47"/>
      <c r="D31" s="47"/>
      <c r="E31" s="47"/>
      <c r="F31" s="47"/>
      <c r="G31" s="47"/>
      <c r="H31" s="47"/>
      <c r="I31" s="47"/>
      <c r="J31" s="57">
        <f>SUM(J13:J30)/2</f>
        <v>1242</v>
      </c>
      <c r="K31" s="47"/>
      <c r="L31" s="57">
        <v>3820.0</v>
      </c>
      <c r="M31" s="58"/>
      <c r="N31" s="121">
        <v>-1464.0</v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7"/>
      <c r="B33" s="47" t="s">
        <v>5</v>
      </c>
      <c r="C33" s="47"/>
      <c r="D33" s="47"/>
      <c r="E33" s="47"/>
      <c r="F33" s="47"/>
      <c r="G33" s="47"/>
      <c r="H33" s="47"/>
      <c r="I33" s="47"/>
      <c r="J33" s="57">
        <f>J12-J31</f>
        <v>-1242</v>
      </c>
      <c r="K33" s="47"/>
      <c r="L33" s="57">
        <v>-3820.0</v>
      </c>
      <c r="M33" s="58"/>
      <c r="N33" s="121">
        <v>-1242.0</v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9"/>
      <c r="K194" s="49"/>
      <c r="L194" s="99"/>
      <c r="M194" s="49"/>
      <c r="N194" s="49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9"/>
      <c r="K195" s="49"/>
      <c r="L195" s="99"/>
      <c r="M195" s="49"/>
      <c r="N195" s="49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9"/>
      <c r="K196" s="49"/>
      <c r="L196" s="99"/>
      <c r="M196" s="49"/>
      <c r="N196" s="49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9"/>
      <c r="K197" s="49"/>
      <c r="L197" s="99"/>
      <c r="M197" s="49"/>
      <c r="N197" s="49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9"/>
      <c r="K198" s="49"/>
      <c r="L198" s="99"/>
      <c r="M198" s="49"/>
      <c r="N198" s="49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9"/>
      <c r="K199" s="49"/>
      <c r="L199" s="99"/>
      <c r="M199" s="49"/>
      <c r="N199" s="49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9"/>
      <c r="K200" s="49"/>
      <c r="L200" s="99"/>
      <c r="M200" s="49"/>
      <c r="N200" s="49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9"/>
      <c r="K201" s="49"/>
      <c r="L201" s="99"/>
      <c r="M201" s="49"/>
      <c r="N201" s="49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9"/>
      <c r="K202" s="49"/>
      <c r="L202" s="99"/>
      <c r="M202" s="49"/>
      <c r="N202" s="49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9"/>
      <c r="K203" s="49"/>
      <c r="L203" s="99"/>
      <c r="M203" s="49"/>
      <c r="N203" s="49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9"/>
      <c r="K204" s="49"/>
      <c r="L204" s="99"/>
      <c r="M204" s="49"/>
      <c r="N204" s="49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9"/>
      <c r="K205" s="49"/>
      <c r="L205" s="99"/>
      <c r="M205" s="49"/>
      <c r="N205" s="49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9"/>
      <c r="K206" s="49"/>
      <c r="L206" s="99"/>
      <c r="M206" s="49"/>
      <c r="N206" s="49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9"/>
      <c r="K207" s="49"/>
      <c r="L207" s="99"/>
      <c r="M207" s="49"/>
      <c r="N207" s="49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9"/>
      <c r="K208" s="49"/>
      <c r="L208" s="99"/>
      <c r="M208" s="49"/>
      <c r="N208" s="49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9"/>
      <c r="K209" s="49"/>
      <c r="L209" s="99"/>
      <c r="M209" s="49"/>
      <c r="N209" s="49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9"/>
      <c r="K210" s="49"/>
      <c r="L210" s="99"/>
      <c r="M210" s="49"/>
      <c r="N210" s="49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9"/>
      <c r="K211" s="49"/>
      <c r="L211" s="99"/>
      <c r="M211" s="49"/>
      <c r="N211" s="49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9"/>
      <c r="K212" s="49"/>
      <c r="L212" s="99"/>
      <c r="M212" s="49"/>
      <c r="N212" s="49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9"/>
      <c r="K213" s="49"/>
      <c r="L213" s="99"/>
      <c r="M213" s="49"/>
      <c r="N213" s="49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9"/>
      <c r="K214" s="49"/>
      <c r="L214" s="99"/>
      <c r="M214" s="49"/>
      <c r="N214" s="49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9"/>
      <c r="K215" s="49"/>
      <c r="L215" s="99"/>
      <c r="M215" s="49"/>
      <c r="N215" s="49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9"/>
      <c r="K216" s="49"/>
      <c r="L216" s="99"/>
      <c r="M216" s="49"/>
      <c r="N216" s="49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9"/>
      <c r="K217" s="49"/>
      <c r="L217" s="99"/>
      <c r="M217" s="49"/>
      <c r="N217" s="49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9"/>
      <c r="K218" s="49"/>
      <c r="L218" s="99"/>
      <c r="M218" s="49"/>
      <c r="N218" s="49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9"/>
      <c r="K219" s="49"/>
      <c r="L219" s="99"/>
      <c r="M219" s="49"/>
      <c r="N219" s="49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9"/>
      <c r="K220" s="49"/>
      <c r="L220" s="99"/>
      <c r="M220" s="49"/>
      <c r="N220" s="49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9"/>
      <c r="K221" s="49"/>
      <c r="L221" s="99"/>
      <c r="M221" s="49"/>
      <c r="N221" s="49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9"/>
      <c r="K222" s="49"/>
      <c r="L222" s="99"/>
      <c r="M222" s="49"/>
      <c r="N222" s="49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9"/>
      <c r="K223" s="49"/>
      <c r="L223" s="99"/>
      <c r="M223" s="49"/>
      <c r="N223" s="49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9"/>
      <c r="K224" s="49"/>
      <c r="L224" s="99"/>
      <c r="M224" s="49"/>
      <c r="N224" s="49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9"/>
      <c r="K225" s="49"/>
      <c r="L225" s="99"/>
      <c r="M225" s="49"/>
      <c r="N225" s="49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9"/>
      <c r="K226" s="49"/>
      <c r="L226" s="99"/>
      <c r="M226" s="49"/>
      <c r="N226" s="49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9"/>
      <c r="K227" s="49"/>
      <c r="L227" s="99"/>
      <c r="M227" s="49"/>
      <c r="N227" s="49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9"/>
      <c r="K228" s="49"/>
      <c r="L228" s="99"/>
      <c r="M228" s="49"/>
      <c r="N228" s="49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9"/>
      <c r="K229" s="49"/>
      <c r="L229" s="99"/>
      <c r="M229" s="49"/>
      <c r="N229" s="49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9"/>
      <c r="K230" s="49"/>
      <c r="L230" s="99"/>
      <c r="M230" s="49"/>
      <c r="N230" s="49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9"/>
      <c r="K231" s="49"/>
      <c r="L231" s="99"/>
      <c r="M231" s="49"/>
      <c r="N231" s="49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9"/>
      <c r="K232" s="49"/>
      <c r="L232" s="99"/>
      <c r="M232" s="49"/>
      <c r="N232" s="49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9"/>
      <c r="K233" s="49"/>
      <c r="L233" s="99"/>
      <c r="M233" s="49"/>
      <c r="N233" s="49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J234" s="49"/>
      <c r="K234" s="49"/>
      <c r="L234" s="49"/>
      <c r="M234" s="49"/>
      <c r="N234" s="49"/>
    </row>
    <row r="235" ht="15.75" customHeight="1">
      <c r="J235" s="49"/>
      <c r="K235" s="49"/>
      <c r="L235" s="49"/>
      <c r="M235" s="49"/>
      <c r="N235" s="49"/>
    </row>
    <row r="236" ht="15.75" customHeight="1">
      <c r="J236" s="49"/>
      <c r="K236" s="49"/>
      <c r="L236" s="49"/>
      <c r="M236" s="49"/>
      <c r="N236" s="49"/>
    </row>
    <row r="237" ht="15.75" customHeight="1">
      <c r="J237" s="49"/>
      <c r="K237" s="49"/>
      <c r="L237" s="49"/>
      <c r="M237" s="49"/>
      <c r="N237" s="49"/>
    </row>
    <row r="238" ht="15.75" customHeight="1">
      <c r="J238" s="49"/>
      <c r="K238" s="49"/>
      <c r="L238" s="49"/>
      <c r="M238" s="49"/>
      <c r="N238" s="49"/>
    </row>
    <row r="239" ht="15.75" customHeight="1">
      <c r="J239" s="49"/>
      <c r="K239" s="49"/>
      <c r="L239" s="49"/>
      <c r="M239" s="49"/>
      <c r="N239" s="49"/>
    </row>
    <row r="240" ht="15.75" customHeight="1">
      <c r="J240" s="49"/>
      <c r="K240" s="49"/>
      <c r="L240" s="49"/>
      <c r="M240" s="49"/>
      <c r="N240" s="49"/>
    </row>
    <row r="241" ht="15.75" customHeight="1">
      <c r="J241" s="49"/>
      <c r="K241" s="49"/>
      <c r="L241" s="49"/>
      <c r="M241" s="49"/>
      <c r="N241" s="49"/>
    </row>
    <row r="242" ht="15.75" customHeight="1">
      <c r="J242" s="49"/>
      <c r="K242" s="49"/>
      <c r="L242" s="49"/>
      <c r="M242" s="49"/>
      <c r="N242" s="49"/>
    </row>
    <row r="243" ht="15.75" customHeight="1">
      <c r="J243" s="49"/>
      <c r="K243" s="49"/>
      <c r="L243" s="49"/>
      <c r="M243" s="49"/>
      <c r="N243" s="49"/>
    </row>
    <row r="244" ht="15.75" customHeight="1">
      <c r="J244" s="49"/>
      <c r="K244" s="49"/>
      <c r="L244" s="49"/>
      <c r="M244" s="49"/>
      <c r="N244" s="49"/>
    </row>
    <row r="245" ht="15.75" customHeight="1">
      <c r="J245" s="49"/>
      <c r="K245" s="49"/>
      <c r="L245" s="49"/>
      <c r="M245" s="49"/>
      <c r="N245" s="49"/>
    </row>
    <row r="246" ht="15.75" customHeight="1">
      <c r="J246" s="49"/>
      <c r="K246" s="49"/>
      <c r="L246" s="49"/>
      <c r="M246" s="49"/>
      <c r="N246" s="4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15 J19:J21 J25:J28">
    <cfRule type="cellIs" dxfId="0" priority="1" operator="greaterThan">
      <formula>L15</formula>
    </cfRule>
  </conditionalFormatting>
  <conditionalFormatting sqref="J15 J19:J21 J25:J28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68</v>
      </c>
      <c r="B1" s="40" t="s">
        <v>555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556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J16</f>
        <v>3255</v>
      </c>
      <c r="K6" s="42"/>
      <c r="L6" s="37">
        <v>2376.0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J51</f>
        <v>76958.75</v>
      </c>
      <c r="K7" s="42"/>
      <c r="L7" s="37">
        <v>50394.0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J53</f>
        <v>-73703.75</v>
      </c>
      <c r="K8" s="42"/>
      <c r="L8" s="37">
        <v>-48018.0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80">
        <v>3990.0</v>
      </c>
      <c r="B12" s="52" t="s">
        <v>557</v>
      </c>
      <c r="C12" s="43"/>
      <c r="D12" s="43"/>
      <c r="E12" s="43"/>
      <c r="F12" s="43"/>
      <c r="G12" s="43"/>
      <c r="H12" s="43"/>
      <c r="I12" s="43"/>
      <c r="J12" s="16"/>
      <c r="K12" s="43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43" t="s">
        <v>558</v>
      </c>
      <c r="C13" s="43"/>
      <c r="D13" s="43"/>
      <c r="E13" s="43"/>
      <c r="F13" s="43">
        <v>12.0</v>
      </c>
      <c r="G13" s="43" t="s">
        <v>155</v>
      </c>
      <c r="H13" s="59">
        <f>217*1.25</f>
        <v>271.25</v>
      </c>
      <c r="I13" s="84" t="s">
        <v>119</v>
      </c>
      <c r="J13" s="16">
        <f>F13*H13</f>
        <v>3255</v>
      </c>
      <c r="K13" s="43"/>
      <c r="L13" s="16">
        <v>2376.0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81" t="s">
        <v>147</v>
      </c>
      <c r="C14" s="31"/>
      <c r="D14" s="31"/>
      <c r="E14" s="31"/>
      <c r="F14" s="31"/>
      <c r="G14" s="31"/>
      <c r="H14" s="31"/>
      <c r="I14" s="31"/>
      <c r="J14" s="82">
        <f>SUM(J12:J13)</f>
        <v>3255</v>
      </c>
      <c r="K14" s="31"/>
      <c r="L14" s="82">
        <v>2376.0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16"/>
      <c r="K15" s="43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7"/>
      <c r="B16" s="47" t="s">
        <v>3</v>
      </c>
      <c r="C16" s="47"/>
      <c r="D16" s="47"/>
      <c r="E16" s="47"/>
      <c r="F16" s="47"/>
      <c r="G16" s="47"/>
      <c r="H16" s="47"/>
      <c r="I16" s="47"/>
      <c r="J16" s="57">
        <f>SUM(J12:J15)/2</f>
        <v>3255</v>
      </c>
      <c r="K16" s="47"/>
      <c r="L16" s="57">
        <v>2376.0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80">
        <v>4000.0</v>
      </c>
      <c r="B18" s="52" t="s">
        <v>559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429</v>
      </c>
      <c r="C19" s="43"/>
      <c r="D19" s="43"/>
      <c r="E19" s="43"/>
      <c r="F19" s="43"/>
      <c r="G19" s="43"/>
      <c r="H19" s="16"/>
      <c r="I19" s="43"/>
      <c r="J19" s="59">
        <v>1000.0</v>
      </c>
      <c r="K19" s="43"/>
      <c r="L19" s="16">
        <v>300.0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SUM(J18:J19)</f>
        <v>1000</v>
      </c>
      <c r="K20" s="81"/>
      <c r="L20" s="82">
        <v>300.0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80">
        <v>6200.0</v>
      </c>
      <c r="B22" s="52" t="s">
        <v>560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43" t="s">
        <v>561</v>
      </c>
      <c r="C23" s="43"/>
      <c r="D23" s="43"/>
      <c r="E23" s="43"/>
      <c r="F23" s="43"/>
      <c r="G23" s="43"/>
      <c r="H23" s="43"/>
      <c r="I23" s="43"/>
      <c r="J23" s="59">
        <v>500.0</v>
      </c>
      <c r="K23" s="43"/>
      <c r="L23" s="16">
        <v>100.0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81" t="s">
        <v>147</v>
      </c>
      <c r="C24" s="31"/>
      <c r="D24" s="31"/>
      <c r="E24" s="31"/>
      <c r="F24" s="31"/>
      <c r="G24" s="31"/>
      <c r="H24" s="31"/>
      <c r="I24" s="31"/>
      <c r="J24" s="82">
        <f>SUM(J22:J23)</f>
        <v>500</v>
      </c>
      <c r="K24" s="31"/>
      <c r="L24" s="82">
        <v>100.0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80">
        <v>6540.0</v>
      </c>
      <c r="B26" s="135" t="s">
        <v>562</v>
      </c>
      <c r="C26" s="136"/>
      <c r="D26" s="136"/>
      <c r="E26" s="136"/>
      <c r="F26" s="136"/>
      <c r="G26" s="136"/>
      <c r="H26" s="136"/>
      <c r="I26" s="136"/>
      <c r="J26" s="137"/>
      <c r="K26" s="136"/>
      <c r="L26" s="137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136" t="s">
        <v>563</v>
      </c>
      <c r="C27" s="136"/>
      <c r="D27" s="136"/>
      <c r="E27" s="136"/>
      <c r="F27" s="138">
        <v>3500.0</v>
      </c>
      <c r="G27" s="138" t="s">
        <v>118</v>
      </c>
      <c r="H27" s="131">
        <v>1.5</v>
      </c>
      <c r="I27" s="139" t="s">
        <v>119</v>
      </c>
      <c r="J27" s="137">
        <f>F27*H27</f>
        <v>5250</v>
      </c>
      <c r="K27" s="136"/>
      <c r="L27" s="137">
        <v>1500.0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136" t="s">
        <v>564</v>
      </c>
      <c r="C28" s="136"/>
      <c r="D28" s="136"/>
      <c r="E28" s="136"/>
      <c r="F28" s="136"/>
      <c r="G28" s="136"/>
      <c r="H28" s="137"/>
      <c r="I28" s="136"/>
      <c r="J28" s="131">
        <v>18000.0</v>
      </c>
      <c r="K28" s="136"/>
      <c r="L28" s="137">
        <v>10000.0</v>
      </c>
      <c r="M28" s="132" t="s">
        <v>565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136" t="s">
        <v>566</v>
      </c>
      <c r="C29" s="136"/>
      <c r="D29" s="136"/>
      <c r="E29" s="136"/>
      <c r="F29" s="136"/>
      <c r="G29" s="136"/>
      <c r="H29" s="137"/>
      <c r="I29" s="136"/>
      <c r="J29" s="131">
        <v>8000.0</v>
      </c>
      <c r="K29" s="136"/>
      <c r="L29" s="137">
        <v>13500.0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140" t="s">
        <v>147</v>
      </c>
      <c r="C30" s="141"/>
      <c r="D30" s="141"/>
      <c r="E30" s="141"/>
      <c r="F30" s="141"/>
      <c r="G30" s="141"/>
      <c r="H30" s="141"/>
      <c r="I30" s="141"/>
      <c r="J30" s="142">
        <f>SUM(J27:J29)</f>
        <v>31250</v>
      </c>
      <c r="K30" s="141"/>
      <c r="L30" s="142">
        <v>25000.0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52"/>
      <c r="C31" s="43"/>
      <c r="D31" s="43"/>
      <c r="E31" s="43"/>
      <c r="F31" s="43"/>
      <c r="G31" s="43"/>
      <c r="H31" s="43"/>
      <c r="I31" s="43"/>
      <c r="J31" s="73"/>
      <c r="K31" s="43"/>
      <c r="L31" s="7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80">
        <v>6570.0</v>
      </c>
      <c r="B32" s="52" t="s">
        <v>567</v>
      </c>
      <c r="C32" s="52"/>
      <c r="D32" s="52"/>
      <c r="E32" s="52"/>
      <c r="F32" s="52"/>
      <c r="G32" s="52"/>
      <c r="H32" s="52"/>
      <c r="I32" s="52"/>
      <c r="J32" s="73"/>
      <c r="K32" s="52"/>
      <c r="L32" s="7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 t="s">
        <v>568</v>
      </c>
      <c r="C33" s="43"/>
      <c r="D33" s="43"/>
      <c r="E33" s="43"/>
      <c r="F33" s="43"/>
      <c r="G33" s="43"/>
      <c r="H33" s="16"/>
      <c r="I33" s="43"/>
      <c r="J33" s="59">
        <v>3450.0</v>
      </c>
      <c r="K33" s="43"/>
      <c r="L33" s="16">
        <v>1500.0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569</v>
      </c>
      <c r="C34" s="43"/>
      <c r="D34" s="43"/>
      <c r="E34" s="43"/>
      <c r="F34" s="54">
        <v>10.0</v>
      </c>
      <c r="G34" s="43" t="s">
        <v>155</v>
      </c>
      <c r="H34" s="16">
        <v>350.0</v>
      </c>
      <c r="I34" s="84" t="s">
        <v>119</v>
      </c>
      <c r="J34" s="16">
        <f>H34*F34</f>
        <v>3500</v>
      </c>
      <c r="K34" s="43"/>
      <c r="L34" s="16">
        <v>3850.0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81" t="s">
        <v>147</v>
      </c>
      <c r="C35" s="81"/>
      <c r="D35" s="81"/>
      <c r="E35" s="81"/>
      <c r="F35" s="81"/>
      <c r="G35" s="81"/>
      <c r="H35" s="81"/>
      <c r="I35" s="81"/>
      <c r="J35" s="82">
        <f>SUM(J33:J34)</f>
        <v>6950</v>
      </c>
      <c r="K35" s="81"/>
      <c r="L35" s="82">
        <v>5350.0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52"/>
      <c r="C36" s="43"/>
      <c r="D36" s="43"/>
      <c r="E36" s="43"/>
      <c r="F36" s="43"/>
      <c r="G36" s="43"/>
      <c r="H36" s="43"/>
      <c r="I36" s="43"/>
      <c r="J36" s="73"/>
      <c r="K36" s="43"/>
      <c r="L36" s="7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80">
        <v>6530.0</v>
      </c>
      <c r="B37" s="52" t="s">
        <v>344</v>
      </c>
      <c r="C37" s="43"/>
      <c r="D37" s="43"/>
      <c r="E37" s="43"/>
      <c r="F37" s="43"/>
      <c r="G37" s="43"/>
      <c r="H37" s="43"/>
      <c r="I37" s="43"/>
      <c r="J37" s="16"/>
      <c r="K37" s="43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 t="s">
        <v>570</v>
      </c>
      <c r="C38" s="43"/>
      <c r="D38" s="43"/>
      <c r="E38" s="43"/>
      <c r="F38" s="43"/>
      <c r="G38" s="43"/>
      <c r="H38" s="16"/>
      <c r="I38" s="43"/>
      <c r="J38" s="16">
        <v>0.0</v>
      </c>
      <c r="K38" s="43"/>
      <c r="L38" s="16">
        <v>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 t="s">
        <v>103</v>
      </c>
      <c r="C39" s="43"/>
      <c r="D39" s="54">
        <v>6.0</v>
      </c>
      <c r="E39" s="43" t="s">
        <v>155</v>
      </c>
      <c r="F39" s="43">
        <v>12.0</v>
      </c>
      <c r="G39" s="43" t="s">
        <v>155</v>
      </c>
      <c r="H39" s="59">
        <f>Parametrar!$I$14</f>
        <v>271.25</v>
      </c>
      <c r="I39" s="84" t="s">
        <v>119</v>
      </c>
      <c r="J39" s="16">
        <f>D39*F39*H39</f>
        <v>19530</v>
      </c>
      <c r="K39" s="43"/>
      <c r="L39" s="16">
        <v>10008.0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 t="s">
        <v>104</v>
      </c>
      <c r="C40" s="43"/>
      <c r="D40" s="43"/>
      <c r="F40" s="54">
        <v>0.0</v>
      </c>
      <c r="G40" s="43" t="s">
        <v>155</v>
      </c>
      <c r="H40" s="59">
        <f>Parametrar!$I$15</f>
        <v>173.75</v>
      </c>
      <c r="I40" s="84" t="s">
        <v>119</v>
      </c>
      <c r="J40" s="59">
        <f>1203*1.25</f>
        <v>1503.75</v>
      </c>
      <c r="K40" s="43"/>
      <c r="L40" s="16">
        <v>556.0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 t="s">
        <v>105</v>
      </c>
      <c r="C41" s="43"/>
      <c r="D41" s="43">
        <v>2.0</v>
      </c>
      <c r="E41" s="43" t="s">
        <v>155</v>
      </c>
      <c r="F41" s="43">
        <v>12.0</v>
      </c>
      <c r="G41" s="43" t="s">
        <v>155</v>
      </c>
      <c r="H41" s="59">
        <f>Parametrar!$I$16</f>
        <v>142.5</v>
      </c>
      <c r="I41" s="84" t="s">
        <v>119</v>
      </c>
      <c r="J41" s="16">
        <f t="shared" ref="J41:J43" si="1">H41*F41*D41</f>
        <v>3420</v>
      </c>
      <c r="K41" s="43"/>
      <c r="L41" s="16">
        <v>2376.0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 t="s">
        <v>106</v>
      </c>
      <c r="C42" s="43"/>
      <c r="D42" s="43">
        <v>2.0</v>
      </c>
      <c r="E42" s="43" t="s">
        <v>155</v>
      </c>
      <c r="F42" s="43">
        <v>12.0</v>
      </c>
      <c r="G42" s="43" t="s">
        <v>155</v>
      </c>
      <c r="H42" s="59">
        <f>Parametrar!$I$17</f>
        <v>213.75</v>
      </c>
      <c r="I42" s="84" t="s">
        <v>119</v>
      </c>
      <c r="J42" s="16">
        <f t="shared" si="1"/>
        <v>5130</v>
      </c>
      <c r="K42" s="43"/>
      <c r="L42" s="16">
        <v>3096.0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 t="s">
        <v>107</v>
      </c>
      <c r="C43" s="43"/>
      <c r="D43" s="54">
        <v>2.0</v>
      </c>
      <c r="E43" s="43" t="s">
        <v>155</v>
      </c>
      <c r="F43" s="43">
        <v>12.0</v>
      </c>
      <c r="G43" s="43" t="s">
        <v>155</v>
      </c>
      <c r="H43" s="59">
        <f>Parametrar!$I$18</f>
        <v>142.5</v>
      </c>
      <c r="I43" s="84" t="s">
        <v>119</v>
      </c>
      <c r="J43" s="16">
        <f t="shared" si="1"/>
        <v>3420</v>
      </c>
      <c r="K43" s="43"/>
      <c r="L43" s="16">
        <v>1560.0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 t="s">
        <v>108</v>
      </c>
      <c r="C44" s="43"/>
      <c r="D44" s="43"/>
      <c r="F44" s="43">
        <v>12.0</v>
      </c>
      <c r="G44" s="43" t="s">
        <v>155</v>
      </c>
      <c r="H44" s="59">
        <f>Parametrar!$I$19</f>
        <v>271.25</v>
      </c>
      <c r="I44" s="84" t="s">
        <v>119</v>
      </c>
      <c r="J44" s="16">
        <f>H44*F44</f>
        <v>3255</v>
      </c>
      <c r="K44" s="43"/>
      <c r="L44" s="16">
        <v>1548.0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81" t="s">
        <v>147</v>
      </c>
      <c r="C45" s="31"/>
      <c r="D45" s="31"/>
      <c r="E45" s="31"/>
      <c r="F45" s="31"/>
      <c r="G45" s="31"/>
      <c r="H45" s="31"/>
      <c r="I45" s="31"/>
      <c r="J45" s="82">
        <f>SUM(J38:J44)</f>
        <v>36258.75</v>
      </c>
      <c r="K45" s="31"/>
      <c r="L45" s="82">
        <v>19144.0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52"/>
      <c r="C46" s="43"/>
      <c r="D46" s="43"/>
      <c r="E46" s="43"/>
      <c r="F46" s="43"/>
      <c r="G46" s="43"/>
      <c r="H46" s="43"/>
      <c r="I46" s="43"/>
      <c r="J46" s="73"/>
      <c r="K46" s="43"/>
      <c r="L46" s="7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80">
        <v>8422.0</v>
      </c>
      <c r="B47" s="52" t="s">
        <v>571</v>
      </c>
      <c r="C47" s="43"/>
      <c r="D47" s="43"/>
      <c r="E47" s="43"/>
      <c r="F47" s="43"/>
      <c r="G47" s="43"/>
      <c r="H47" s="43"/>
      <c r="I47" s="43"/>
      <c r="J47" s="16"/>
      <c r="K47" s="43"/>
      <c r="L47" s="16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 t="s">
        <v>572</v>
      </c>
      <c r="C48" s="43"/>
      <c r="D48" s="43"/>
      <c r="E48" s="43"/>
      <c r="F48" s="43"/>
      <c r="G48" s="43"/>
      <c r="H48" s="16"/>
      <c r="I48" s="43"/>
      <c r="J48" s="59">
        <v>1000.0</v>
      </c>
      <c r="K48" s="43"/>
      <c r="L48" s="16">
        <v>500.0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81" t="s">
        <v>147</v>
      </c>
      <c r="C49" s="31"/>
      <c r="D49" s="31"/>
      <c r="E49" s="31"/>
      <c r="F49" s="31"/>
      <c r="G49" s="31"/>
      <c r="H49" s="31"/>
      <c r="I49" s="31"/>
      <c r="J49" s="82">
        <f>SUM(J47:J48)</f>
        <v>1000</v>
      </c>
      <c r="K49" s="31"/>
      <c r="L49" s="82">
        <v>500.0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16"/>
      <c r="K50" s="43"/>
      <c r="L50" s="16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7"/>
      <c r="B51" s="47" t="s">
        <v>4</v>
      </c>
      <c r="C51" s="47"/>
      <c r="D51" s="47"/>
      <c r="E51" s="47"/>
      <c r="F51" s="47"/>
      <c r="G51" s="47"/>
      <c r="H51" s="47"/>
      <c r="I51" s="47"/>
      <c r="J51" s="57">
        <f>SUM(J19:J50)/2</f>
        <v>76958.75</v>
      </c>
      <c r="K51" s="47"/>
      <c r="L51" s="57">
        <v>50394.0</v>
      </c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16"/>
      <c r="K52" s="43"/>
      <c r="L52" s="16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7"/>
      <c r="B53" s="47" t="s">
        <v>5</v>
      </c>
      <c r="C53" s="47"/>
      <c r="D53" s="47"/>
      <c r="E53" s="47"/>
      <c r="F53" s="47"/>
      <c r="G53" s="47"/>
      <c r="H53" s="47"/>
      <c r="I53" s="47"/>
      <c r="J53" s="57">
        <f>J16-J51</f>
        <v>-73703.75</v>
      </c>
      <c r="K53" s="47"/>
      <c r="L53" s="57">
        <v>-48018.0</v>
      </c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3 J19 J23 J27:J29 J33:J34 J38:J44 J48">
    <cfRule type="cellIs" dxfId="0" priority="1" operator="greaterThan">
      <formula>L13</formula>
    </cfRule>
  </conditionalFormatting>
  <conditionalFormatting sqref="J13 J19 J23 J27:J29 J33:J34 J38:J44 J48">
    <cfRule type="cellIs" dxfId="1" priority="2" operator="lessThan">
      <formula>L13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71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573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J45</f>
        <v>8487</v>
      </c>
      <c r="K7" s="42"/>
      <c r="L7" s="37">
        <v>22924.0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-8487</v>
      </c>
      <c r="K8" s="42"/>
      <c r="L8" s="143">
        <v>-22924.0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63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144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2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43" t="s">
        <v>574</v>
      </c>
      <c r="C14" s="43"/>
      <c r="D14" s="43">
        <v>2.0</v>
      </c>
      <c r="E14" s="43"/>
      <c r="F14" s="43"/>
      <c r="G14" s="43"/>
      <c r="H14" s="43"/>
      <c r="I14" s="43"/>
      <c r="J14" s="43"/>
      <c r="K14" s="43"/>
      <c r="L14" s="2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575</v>
      </c>
      <c r="C15" s="43"/>
      <c r="D15" s="43">
        <v>1.0</v>
      </c>
      <c r="E15" s="43"/>
      <c r="F15" s="43"/>
      <c r="G15" s="43"/>
      <c r="H15" s="43"/>
      <c r="I15" s="43"/>
      <c r="J15" s="43"/>
      <c r="K15" s="43"/>
      <c r="L15" s="2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80">
        <v>4002.0</v>
      </c>
      <c r="B17" s="52" t="s">
        <v>145</v>
      </c>
      <c r="C17" s="43"/>
      <c r="D17" s="43"/>
      <c r="E17" s="43"/>
      <c r="F17" s="43"/>
      <c r="G17" s="43"/>
      <c r="H17" s="43"/>
      <c r="I17" s="43"/>
      <c r="J17" s="16"/>
      <c r="K17" s="43"/>
      <c r="L17" s="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 t="s">
        <v>576</v>
      </c>
      <c r="D18" s="43"/>
      <c r="E18" s="43"/>
      <c r="F18" s="43"/>
      <c r="H18" s="16"/>
      <c r="I18" s="43"/>
      <c r="J18" s="16">
        <v>0.0</v>
      </c>
      <c r="L18" s="11">
        <v>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146</v>
      </c>
      <c r="C19" s="43"/>
      <c r="D19" s="43"/>
      <c r="E19" s="43"/>
      <c r="F19" s="43"/>
      <c r="G19" s="43"/>
      <c r="H19" s="43"/>
      <c r="I19" s="43"/>
      <c r="J19" s="16">
        <v>0.0</v>
      </c>
      <c r="K19" s="43"/>
      <c r="L19" s="98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81" t="s">
        <v>147</v>
      </c>
      <c r="C20" s="31"/>
      <c r="D20" s="31"/>
      <c r="E20" s="31"/>
      <c r="F20" s="31"/>
      <c r="G20" s="31"/>
      <c r="H20" s="31"/>
      <c r="I20" s="31"/>
      <c r="J20" s="82">
        <f>SUM(J18:J19)</f>
        <v>0</v>
      </c>
      <c r="K20" s="31"/>
      <c r="L20" s="37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2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80">
        <v>4330.0</v>
      </c>
      <c r="B22" s="52" t="s">
        <v>422</v>
      </c>
      <c r="C22" s="43"/>
      <c r="D22" s="43"/>
      <c r="E22" s="43"/>
      <c r="F22" s="43"/>
      <c r="G22" s="43"/>
      <c r="H22" s="43"/>
      <c r="I22" s="43"/>
      <c r="J22" s="16"/>
      <c r="K22" s="43"/>
      <c r="L22" s="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43" t="s">
        <v>577</v>
      </c>
      <c r="C23" s="43"/>
      <c r="D23" s="43">
        <v>4.0</v>
      </c>
      <c r="E23" s="43" t="s">
        <v>155</v>
      </c>
      <c r="F23" s="43">
        <v>5.0</v>
      </c>
      <c r="G23" s="43" t="s">
        <v>155</v>
      </c>
      <c r="H23" s="16">
        <v>0.0</v>
      </c>
      <c r="I23" s="84" t="s">
        <v>119</v>
      </c>
      <c r="J23" s="16">
        <f>D23*F23*H23</f>
        <v>0</v>
      </c>
      <c r="K23" s="43"/>
      <c r="L23" s="11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578</v>
      </c>
      <c r="C24" s="43"/>
      <c r="D24" s="43"/>
      <c r="E24" s="43"/>
      <c r="F24" s="43"/>
      <c r="G24" s="43"/>
      <c r="H24" s="16"/>
      <c r="I24" s="43"/>
      <c r="J24" s="16">
        <v>0.0</v>
      </c>
      <c r="K24" s="43"/>
      <c r="L24" s="98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SUM(J23:J24)</f>
        <v>0</v>
      </c>
      <c r="K25" s="31"/>
      <c r="L25" s="37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80">
        <v>5480.0</v>
      </c>
      <c r="B27" s="52" t="s">
        <v>148</v>
      </c>
      <c r="C27" s="52"/>
      <c r="D27" s="52"/>
      <c r="E27" s="52"/>
      <c r="F27" s="52"/>
      <c r="G27" s="52"/>
      <c r="H27" s="52"/>
      <c r="I27" s="52"/>
      <c r="J27" s="73"/>
      <c r="K27" s="52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579</v>
      </c>
      <c r="C28" s="43"/>
      <c r="D28" s="43"/>
      <c r="E28" s="43"/>
      <c r="F28" s="43"/>
      <c r="G28" s="43"/>
      <c r="H28" s="16"/>
      <c r="I28" s="43"/>
      <c r="J28" s="59">
        <v>0.0</v>
      </c>
      <c r="K28" s="43"/>
      <c r="L28" s="11">
        <v>350.0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580</v>
      </c>
      <c r="C29" s="43"/>
      <c r="D29" s="43"/>
      <c r="E29" s="43"/>
      <c r="F29" s="43"/>
      <c r="H29" s="16"/>
      <c r="I29" s="43"/>
      <c r="J29" s="59">
        <v>0.0</v>
      </c>
      <c r="K29" s="43"/>
      <c r="L29" s="11">
        <v>350.0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 t="s">
        <v>581</v>
      </c>
      <c r="C30" s="43"/>
      <c r="D30" s="43"/>
      <c r="E30" s="43"/>
      <c r="F30" s="43"/>
      <c r="H30" s="16"/>
      <c r="I30" s="43"/>
      <c r="J30" s="59">
        <v>0.0</v>
      </c>
      <c r="K30" s="43"/>
      <c r="L30" s="11">
        <v>350.0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43" t="s">
        <v>582</v>
      </c>
      <c r="C31" s="43"/>
      <c r="D31" s="43"/>
      <c r="E31" s="43"/>
      <c r="F31" s="43"/>
      <c r="G31" s="43"/>
      <c r="H31" s="16"/>
      <c r="I31" s="43"/>
      <c r="J31" s="59">
        <v>0.0</v>
      </c>
      <c r="K31" s="43"/>
      <c r="L31" s="11">
        <v>4200.0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583</v>
      </c>
      <c r="C32" s="43"/>
      <c r="D32" s="43"/>
      <c r="E32" s="43"/>
      <c r="F32" s="43"/>
      <c r="G32" s="43"/>
      <c r="H32" s="16"/>
      <c r="I32" s="43"/>
      <c r="J32" s="59">
        <v>0.0</v>
      </c>
      <c r="K32" s="43"/>
      <c r="L32" s="98">
        <v>700.0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81" t="s">
        <v>147</v>
      </c>
      <c r="C33" s="81"/>
      <c r="D33" s="81"/>
      <c r="E33" s="81"/>
      <c r="F33" s="81"/>
      <c r="G33" s="81"/>
      <c r="H33" s="81"/>
      <c r="I33" s="81"/>
      <c r="J33" s="82">
        <f>SUM(J28:J32)</f>
        <v>0</v>
      </c>
      <c r="K33" s="81"/>
      <c r="L33" s="37">
        <v>5950.0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52"/>
      <c r="C34" s="43"/>
      <c r="D34" s="43"/>
      <c r="E34" s="43"/>
      <c r="F34" s="43"/>
      <c r="G34" s="43"/>
      <c r="H34" s="43"/>
      <c r="I34" s="43"/>
      <c r="J34" s="73"/>
      <c r="K34" s="43"/>
      <c r="L34" s="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80">
        <v>7600.0</v>
      </c>
      <c r="B35" s="52" t="s">
        <v>157</v>
      </c>
      <c r="C35" s="43"/>
      <c r="D35" s="43"/>
      <c r="E35" s="43"/>
      <c r="F35" s="43"/>
      <c r="G35" s="43"/>
      <c r="H35" s="43"/>
      <c r="I35" s="43"/>
      <c r="J35" s="16"/>
      <c r="K35" s="43"/>
      <c r="L35" s="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584</v>
      </c>
      <c r="C36" s="43"/>
      <c r="D36" s="43"/>
      <c r="E36" s="43"/>
      <c r="F36" s="43"/>
      <c r="G36" s="43"/>
      <c r="H36" s="16"/>
      <c r="I36" s="43"/>
      <c r="J36" s="16">
        <f>Parametrar!$I$8</f>
        <v>207</v>
      </c>
      <c r="K36" s="43"/>
      <c r="L36" s="11">
        <v>414.0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43" t="s">
        <v>585</v>
      </c>
      <c r="C37" s="43"/>
      <c r="D37" s="43"/>
      <c r="E37" s="43"/>
      <c r="F37" s="43"/>
      <c r="H37" s="16"/>
      <c r="I37" s="43"/>
      <c r="J37" s="16">
        <f>Parametrar!$I$8</f>
        <v>207</v>
      </c>
      <c r="K37" s="43"/>
      <c r="L37" s="11">
        <v>414.0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 t="s">
        <v>586</v>
      </c>
      <c r="C38" s="43"/>
      <c r="D38" s="43"/>
      <c r="E38" s="43"/>
      <c r="F38" s="43"/>
      <c r="H38" s="16"/>
      <c r="I38" s="43"/>
      <c r="J38" s="16">
        <f>Parametrar!$I$8</f>
        <v>207</v>
      </c>
      <c r="K38" s="43"/>
      <c r="L38" s="11">
        <v>414.0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3"/>
      <c r="B39" s="43" t="s">
        <v>587</v>
      </c>
      <c r="C39" s="43"/>
      <c r="D39" s="43">
        <v>4.0</v>
      </c>
      <c r="E39" s="43" t="s">
        <v>155</v>
      </c>
      <c r="F39" s="43">
        <v>3.0</v>
      </c>
      <c r="G39" s="43" t="s">
        <v>155</v>
      </c>
      <c r="H39" s="16">
        <f>Parametrar!$I$8</f>
        <v>207</v>
      </c>
      <c r="I39" s="84" t="s">
        <v>119</v>
      </c>
      <c r="J39" s="16">
        <f t="shared" ref="J39:J40" si="1">D39*F39*H39</f>
        <v>2484</v>
      </c>
      <c r="K39" s="43"/>
      <c r="L39" s="11">
        <v>4968.0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3"/>
      <c r="B40" s="43" t="s">
        <v>588</v>
      </c>
      <c r="C40" s="43"/>
      <c r="D40" s="43">
        <f>$D$15</f>
        <v>1</v>
      </c>
      <c r="E40" s="43" t="s">
        <v>155</v>
      </c>
      <c r="F40" s="43">
        <v>2.0</v>
      </c>
      <c r="G40" s="43" t="s">
        <v>155</v>
      </c>
      <c r="H40" s="16">
        <f>Parametrar!$I$8</f>
        <v>207</v>
      </c>
      <c r="I40" s="84" t="s">
        <v>119</v>
      </c>
      <c r="J40" s="16">
        <f t="shared" si="1"/>
        <v>414</v>
      </c>
      <c r="K40" s="43"/>
      <c r="L40" s="11">
        <v>828.0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 t="s">
        <v>589</v>
      </c>
      <c r="C41" s="43"/>
      <c r="D41" s="43"/>
      <c r="F41" s="43">
        <v>4.0</v>
      </c>
      <c r="G41" s="43" t="s">
        <v>155</v>
      </c>
      <c r="H41" s="16">
        <f>Parametrar!$I$8</f>
        <v>207</v>
      </c>
      <c r="I41" s="84" t="s">
        <v>119</v>
      </c>
      <c r="J41" s="16">
        <f t="shared" ref="J41:J42" si="2">F41*H41</f>
        <v>828</v>
      </c>
      <c r="K41" s="43"/>
      <c r="L41" s="11">
        <v>1656.0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 t="s">
        <v>168</v>
      </c>
      <c r="C42" s="43"/>
      <c r="D42" s="43"/>
      <c r="E42" s="43"/>
      <c r="F42" s="43">
        <v>20.0</v>
      </c>
      <c r="G42" s="43" t="s">
        <v>155</v>
      </c>
      <c r="H42" s="16">
        <f>Parametrar!$I$8</f>
        <v>207</v>
      </c>
      <c r="I42" s="84" t="s">
        <v>119</v>
      </c>
      <c r="J42" s="16">
        <f t="shared" si="2"/>
        <v>4140</v>
      </c>
      <c r="K42" s="43"/>
      <c r="L42" s="98">
        <v>8280.0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81" t="s">
        <v>147</v>
      </c>
      <c r="C43" s="31"/>
      <c r="D43" s="31"/>
      <c r="E43" s="31"/>
      <c r="F43" s="31"/>
      <c r="G43" s="31"/>
      <c r="H43" s="31"/>
      <c r="I43" s="31"/>
      <c r="J43" s="82">
        <f>SUM(J36:J42)</f>
        <v>8487</v>
      </c>
      <c r="K43" s="31"/>
      <c r="L43" s="37">
        <v>16974.0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16"/>
      <c r="K44" s="43"/>
      <c r="L44" s="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7"/>
      <c r="B45" s="47" t="s">
        <v>4</v>
      </c>
      <c r="C45" s="47"/>
      <c r="D45" s="47"/>
      <c r="E45" s="47"/>
      <c r="F45" s="47"/>
      <c r="G45" s="47"/>
      <c r="H45" s="47"/>
      <c r="I45" s="47"/>
      <c r="J45" s="57">
        <f>SUM(J13:J44)/2</f>
        <v>8487</v>
      </c>
      <c r="K45" s="47"/>
      <c r="L45" s="144">
        <v>22924.0</v>
      </c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16"/>
      <c r="K46" s="43"/>
      <c r="L46" s="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7"/>
      <c r="B47" s="47" t="s">
        <v>5</v>
      </c>
      <c r="C47" s="47"/>
      <c r="D47" s="47"/>
      <c r="E47" s="47"/>
      <c r="F47" s="47"/>
      <c r="G47" s="47"/>
      <c r="H47" s="47"/>
      <c r="I47" s="47"/>
      <c r="J47" s="57">
        <f>J12-J45</f>
        <v>-8487</v>
      </c>
      <c r="K47" s="47"/>
      <c r="L47" s="144">
        <v>-22924.0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2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2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2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2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2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2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8:J19 J23:J24 J28:J32 J36:J42 H39:H42">
    <cfRule type="cellIs" dxfId="0" priority="1" operator="greaterThan">
      <formula>L18</formula>
    </cfRule>
  </conditionalFormatting>
  <conditionalFormatting sqref="J18:J19 J23:J24 J28:J32 J36:J42 H39:H42">
    <cfRule type="cellIs" dxfId="1" priority="2" operator="lessThan">
      <formula>L18</formula>
    </cfRule>
  </conditionalFormatting>
  <conditionalFormatting sqref="J8">
    <cfRule type="cellIs" dxfId="0" priority="3" operator="greaterThan">
      <formula>0</formula>
    </cfRule>
  </conditionalFormatting>
  <conditionalFormatting sqref="J8">
    <cfRule type="cellIs" dxfId="2" priority="4" operator="equal">
      <formula>0</formula>
    </cfRule>
  </conditionalFormatting>
  <conditionalFormatting sqref="J8">
    <cfRule type="cellIs" dxfId="0" priority="5" operator="greaterThanOrEqual">
      <formula>0</formula>
    </cfRule>
  </conditionalFormatting>
  <conditionalFormatting sqref="J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2.88"/>
    <col customWidth="1" min="7" max="7" width="1.88"/>
    <col customWidth="1" min="8" max="8" width="9.25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72</v>
      </c>
      <c r="B1" s="40" t="s">
        <v>590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591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J21</f>
        <v>22200</v>
      </c>
      <c r="K6" s="42"/>
      <c r="L6" s="37">
        <v>14700.0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J39</f>
        <v>24500</v>
      </c>
      <c r="K7" s="42"/>
      <c r="L7" s="37">
        <v>40500.0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-2300</v>
      </c>
      <c r="K8" s="42"/>
      <c r="L8" s="143">
        <v>-25800.0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63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87">
        <v>3000.0</v>
      </c>
      <c r="B12" s="71" t="s">
        <v>172</v>
      </c>
      <c r="C12" s="43"/>
      <c r="D12" s="43"/>
      <c r="E12" s="43"/>
      <c r="F12" s="43"/>
      <c r="G12" s="43"/>
      <c r="H12" s="43"/>
      <c r="I12" s="43"/>
      <c r="J12" s="16"/>
      <c r="K12" s="43"/>
      <c r="L12" s="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3"/>
      <c r="B13" s="54" t="s">
        <v>174</v>
      </c>
      <c r="C13" s="43"/>
      <c r="D13" s="43"/>
      <c r="E13" s="43"/>
      <c r="F13" s="43"/>
      <c r="G13" s="43"/>
      <c r="H13" s="43"/>
      <c r="I13" s="43"/>
      <c r="J13" s="59">
        <v>7500.0</v>
      </c>
      <c r="K13" s="43"/>
      <c r="L13" s="25">
        <v>0.0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3"/>
      <c r="B14" s="81" t="s">
        <v>147</v>
      </c>
      <c r="C14" s="81"/>
      <c r="D14" s="81"/>
      <c r="E14" s="81"/>
      <c r="F14" s="81"/>
      <c r="G14" s="81"/>
      <c r="H14" s="81"/>
      <c r="I14" s="81"/>
      <c r="J14" s="82">
        <f>SUM(J13)</f>
        <v>7500</v>
      </c>
      <c r="K14" s="81"/>
      <c r="L14" s="145">
        <v>0.0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54"/>
      <c r="C15" s="43"/>
      <c r="D15" s="43"/>
      <c r="E15" s="43"/>
      <c r="F15" s="43"/>
      <c r="G15" s="43"/>
      <c r="H15" s="43"/>
      <c r="I15" s="43"/>
      <c r="J15" s="16"/>
      <c r="K15" s="43"/>
      <c r="L15" s="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16"/>
      <c r="K16" s="43"/>
      <c r="L16" s="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80">
        <v>3990.0</v>
      </c>
      <c r="B17" s="52" t="s">
        <v>557</v>
      </c>
      <c r="C17" s="52"/>
      <c r="D17" s="52"/>
      <c r="E17" s="52"/>
      <c r="F17" s="52"/>
      <c r="G17" s="52"/>
      <c r="H17" s="52"/>
      <c r="I17" s="52"/>
      <c r="J17" s="73"/>
      <c r="K17" s="52"/>
      <c r="L17" s="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43" t="s">
        <v>592</v>
      </c>
      <c r="D18" s="43"/>
      <c r="E18" s="43"/>
      <c r="F18" s="43"/>
      <c r="H18" s="16"/>
      <c r="I18" s="43"/>
      <c r="J18" s="59">
        <v>14700.0</v>
      </c>
      <c r="L18" s="98">
        <v>14700.0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81" t="s">
        <v>147</v>
      </c>
      <c r="C19" s="81"/>
      <c r="D19" s="81"/>
      <c r="E19" s="81"/>
      <c r="F19" s="81"/>
      <c r="G19" s="81"/>
      <c r="H19" s="81"/>
      <c r="I19" s="81"/>
      <c r="J19" s="82">
        <f>SUM(J18)</f>
        <v>14700</v>
      </c>
      <c r="K19" s="81"/>
      <c r="L19" s="37">
        <v>14700.0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7"/>
      <c r="B21" s="47" t="s">
        <v>3</v>
      </c>
      <c r="C21" s="47"/>
      <c r="D21" s="47"/>
      <c r="E21" s="47"/>
      <c r="F21" s="47"/>
      <c r="G21" s="47"/>
      <c r="H21" s="47"/>
      <c r="I21" s="47"/>
      <c r="J21" s="57">
        <f>SUM(J11:J20)/2</f>
        <v>22200</v>
      </c>
      <c r="K21" s="47"/>
      <c r="L21" s="144">
        <v>14700.0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2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80">
        <v>4310.0</v>
      </c>
      <c r="B23" s="52" t="s">
        <v>177</v>
      </c>
      <c r="C23" s="52"/>
      <c r="D23" s="52"/>
      <c r="E23" s="52"/>
      <c r="F23" s="52"/>
      <c r="G23" s="52"/>
      <c r="H23" s="52"/>
      <c r="I23" s="52"/>
      <c r="J23" s="73"/>
      <c r="K23" s="52"/>
      <c r="L23" s="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215</v>
      </c>
      <c r="C24" s="43"/>
      <c r="D24" s="43"/>
      <c r="F24" s="43"/>
      <c r="H24" s="16"/>
      <c r="I24" s="43"/>
      <c r="J24" s="16">
        <v>2000.0</v>
      </c>
      <c r="K24" s="43"/>
      <c r="L24" s="11">
        <v>2000.0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593</v>
      </c>
      <c r="C25" s="43"/>
      <c r="D25" s="43"/>
      <c r="E25" s="43"/>
      <c r="F25" s="43"/>
      <c r="H25" s="16"/>
      <c r="I25" s="43"/>
      <c r="J25" s="85">
        <v>0.0</v>
      </c>
      <c r="K25" s="43"/>
      <c r="L25" s="9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/>
      <c r="C26" s="43"/>
      <c r="D26" s="43"/>
      <c r="E26" s="43"/>
      <c r="F26" s="43"/>
      <c r="H26" s="16"/>
      <c r="I26" s="43"/>
      <c r="J26" s="16"/>
      <c r="K26" s="43"/>
      <c r="L26" s="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146" t="s">
        <v>594</v>
      </c>
      <c r="C27" s="43"/>
      <c r="D27" s="43"/>
      <c r="E27" s="43"/>
      <c r="F27" s="43"/>
      <c r="G27" s="43"/>
      <c r="H27" s="16"/>
      <c r="I27" s="43"/>
      <c r="J27" s="16"/>
      <c r="K27" s="43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43" t="s">
        <v>101</v>
      </c>
      <c r="C28" s="43"/>
      <c r="D28" s="43"/>
      <c r="E28" s="43"/>
      <c r="F28" s="43">
        <v>5.0</v>
      </c>
      <c r="G28" s="43" t="s">
        <v>155</v>
      </c>
      <c r="H28" s="59">
        <v>2500.0</v>
      </c>
      <c r="I28" s="84" t="s">
        <v>119</v>
      </c>
      <c r="J28" s="16">
        <f t="shared" ref="J28:J29" si="1">F28*H28</f>
        <v>12500</v>
      </c>
      <c r="K28" s="43"/>
      <c r="L28" s="11">
        <v>24000.0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43" t="s">
        <v>174</v>
      </c>
      <c r="C29" s="43"/>
      <c r="D29" s="43"/>
      <c r="F29" s="43">
        <v>5.0</v>
      </c>
      <c r="G29" s="43" t="s">
        <v>155</v>
      </c>
      <c r="H29" s="16">
        <v>1500.0</v>
      </c>
      <c r="I29" s="84" t="s">
        <v>119</v>
      </c>
      <c r="J29" s="16">
        <f t="shared" si="1"/>
        <v>7500</v>
      </c>
      <c r="K29" s="43"/>
      <c r="L29" s="11">
        <v>7500.0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3"/>
      <c r="B30" s="43"/>
      <c r="C30" s="43"/>
      <c r="D30" s="43"/>
      <c r="E30" s="43"/>
      <c r="F30" s="43"/>
      <c r="H30" s="16"/>
      <c r="I30" s="43"/>
      <c r="J30" s="16"/>
      <c r="K30" s="43"/>
      <c r="L30" s="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146" t="s">
        <v>595</v>
      </c>
      <c r="C31" s="43"/>
      <c r="D31" s="43"/>
      <c r="E31" s="43"/>
      <c r="F31" s="43"/>
      <c r="H31" s="16"/>
      <c r="I31" s="43"/>
      <c r="J31" s="16"/>
      <c r="K31" s="43"/>
      <c r="L31" s="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101</v>
      </c>
      <c r="C32" s="43"/>
      <c r="D32" s="43"/>
      <c r="E32" s="43"/>
      <c r="F32" s="43"/>
      <c r="H32" s="16"/>
      <c r="I32" s="43"/>
      <c r="J32" s="59">
        <v>0.0</v>
      </c>
      <c r="K32" s="43"/>
      <c r="L32" s="98">
        <v>4500.0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81" t="s">
        <v>147</v>
      </c>
      <c r="C33" s="31"/>
      <c r="D33" s="31"/>
      <c r="E33" s="31"/>
      <c r="F33" s="31"/>
      <c r="G33" s="31"/>
      <c r="H33" s="31"/>
      <c r="I33" s="31"/>
      <c r="J33" s="82">
        <f>SUM(J24:J32)</f>
        <v>22000</v>
      </c>
      <c r="K33" s="31"/>
      <c r="L33" s="37">
        <v>38000.0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L34" s="108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80">
        <v>4330.0</v>
      </c>
      <c r="B35" s="52" t="s">
        <v>596</v>
      </c>
      <c r="C35" s="43"/>
      <c r="D35" s="43"/>
      <c r="E35" s="43"/>
      <c r="F35" s="43"/>
      <c r="G35" s="43"/>
      <c r="H35" s="43"/>
      <c r="I35" s="43"/>
      <c r="J35" s="16"/>
      <c r="K35" s="43"/>
      <c r="L35" s="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597</v>
      </c>
      <c r="C36" s="43"/>
      <c r="D36" s="43"/>
      <c r="E36" s="43"/>
      <c r="F36" s="43"/>
      <c r="H36" s="16"/>
      <c r="I36" s="43"/>
      <c r="J36" s="16">
        <v>2500.0</v>
      </c>
      <c r="K36" s="43"/>
      <c r="L36" s="98">
        <v>2500.0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81" t="s">
        <v>147</v>
      </c>
      <c r="C37" s="31"/>
      <c r="D37" s="31"/>
      <c r="E37" s="31"/>
      <c r="F37" s="31"/>
      <c r="G37" s="31"/>
      <c r="H37" s="31"/>
      <c r="I37" s="31"/>
      <c r="J37" s="82">
        <f>SUM(J36)</f>
        <v>2500</v>
      </c>
      <c r="K37" s="31"/>
      <c r="L37" s="37">
        <v>2500.0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7"/>
      <c r="B39" s="47" t="s">
        <v>4</v>
      </c>
      <c r="C39" s="47"/>
      <c r="D39" s="47"/>
      <c r="E39" s="47"/>
      <c r="F39" s="47"/>
      <c r="G39" s="47"/>
      <c r="H39" s="47"/>
      <c r="I39" s="47"/>
      <c r="J39" s="57">
        <f>SUM(J22:J38)/2</f>
        <v>24500</v>
      </c>
      <c r="K39" s="47"/>
      <c r="L39" s="144">
        <v>40500.0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K40" s="43"/>
      <c r="L40" s="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7"/>
      <c r="B41" s="47" t="s">
        <v>5</v>
      </c>
      <c r="C41" s="47"/>
      <c r="D41" s="47"/>
      <c r="E41" s="47"/>
      <c r="F41" s="47"/>
      <c r="G41" s="47"/>
      <c r="H41" s="47"/>
      <c r="I41" s="47"/>
      <c r="J41" s="57">
        <f>J21-J39</f>
        <v>-2300</v>
      </c>
      <c r="K41" s="47"/>
      <c r="L41" s="144">
        <v>-25800.0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A2:C2"/>
    <mergeCell ref="A6:B6"/>
    <mergeCell ref="A7:B7"/>
    <mergeCell ref="A8:B8"/>
  </mergeCells>
  <conditionalFormatting sqref="J18 J24:J32 J36">
    <cfRule type="cellIs" dxfId="0" priority="1" operator="greaterThan">
      <formula>L18</formula>
    </cfRule>
  </conditionalFormatting>
  <conditionalFormatting sqref="J18 J24:J32 J36">
    <cfRule type="cellIs" dxfId="1" priority="2" operator="lessThan">
      <formula>L18</formula>
    </cfRule>
  </conditionalFormatting>
  <conditionalFormatting sqref="J8">
    <cfRule type="cellIs" dxfId="0" priority="3" operator="greaterThan">
      <formula>0</formula>
    </cfRule>
  </conditionalFormatting>
  <conditionalFormatting sqref="J8">
    <cfRule type="cellIs" dxfId="2" priority="4" operator="equal">
      <formula>0</formula>
    </cfRule>
  </conditionalFormatting>
  <conditionalFormatting sqref="J8">
    <cfRule type="cellIs" dxfId="0" priority="5" operator="greaterThanOrEqual">
      <formula>0</formula>
    </cfRule>
  </conditionalFormatting>
  <conditionalFormatting sqref="J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2.88"/>
    <col customWidth="1" min="7" max="7" width="1.88"/>
    <col customWidth="1" min="8" max="8" width="9.25"/>
    <col customWidth="1" min="9" max="9" width="1.88"/>
    <col customWidth="1" min="10" max="10" width="16.88"/>
    <col customWidth="1" min="12" max="12" width="18.25"/>
  </cols>
  <sheetData>
    <row r="1" ht="15.75" customHeight="1">
      <c r="A1" s="40" t="s">
        <v>75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598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J34</f>
        <v>5114</v>
      </c>
      <c r="K7" s="42"/>
      <c r="L7" s="37">
        <v>9228.0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-5114</v>
      </c>
      <c r="K8" s="42"/>
      <c r="L8" s="143">
        <v>-9228.0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63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144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599</v>
      </c>
      <c r="C15" s="43"/>
      <c r="D15" s="43">
        <v>0.0</v>
      </c>
      <c r="E15" s="43" t="s">
        <v>155</v>
      </c>
      <c r="F15" s="43">
        <v>12.0</v>
      </c>
      <c r="G15" s="43" t="s">
        <v>155</v>
      </c>
      <c r="H15" s="16">
        <f>Parametrar!$I$10</f>
        <v>0</v>
      </c>
      <c r="I15" s="84" t="s">
        <v>119</v>
      </c>
      <c r="J15" s="16">
        <f>H15*F15*D15</f>
        <v>0</v>
      </c>
      <c r="K15" s="43"/>
      <c r="L15" s="11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600</v>
      </c>
      <c r="C16" s="43"/>
      <c r="D16" s="43"/>
      <c r="F16" s="43">
        <v>0.0</v>
      </c>
      <c r="G16" s="43" t="s">
        <v>155</v>
      </c>
      <c r="H16" s="16">
        <f>Parametrar!$I$10</f>
        <v>0</v>
      </c>
      <c r="I16" s="84" t="s">
        <v>119</v>
      </c>
      <c r="J16" s="16">
        <f>F16*H16</f>
        <v>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81" t="s">
        <v>147</v>
      </c>
      <c r="C17" s="31"/>
      <c r="D17" s="31"/>
      <c r="E17" s="31"/>
      <c r="F17" s="31"/>
      <c r="G17" s="31"/>
      <c r="H17" s="31"/>
      <c r="I17" s="31"/>
      <c r="J17" s="82">
        <f>SUM(J15:J16)</f>
        <v>0</v>
      </c>
      <c r="K17" s="31"/>
      <c r="L17" s="30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52"/>
      <c r="C18" s="43"/>
      <c r="D18" s="43"/>
      <c r="E18" s="43"/>
      <c r="F18" s="43"/>
      <c r="G18" s="43"/>
      <c r="H18" s="43"/>
      <c r="I18" s="43"/>
      <c r="J18" s="73"/>
      <c r="K18" s="43"/>
      <c r="L18" s="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80">
        <v>5480.0</v>
      </c>
      <c r="B19" s="52" t="s">
        <v>148</v>
      </c>
      <c r="C19" s="52"/>
      <c r="D19" s="52"/>
      <c r="E19" s="52"/>
      <c r="F19" s="52"/>
      <c r="G19" s="52"/>
      <c r="H19" s="52"/>
      <c r="I19" s="52"/>
      <c r="J19" s="73"/>
      <c r="K19" s="52"/>
      <c r="L19" s="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43" t="s">
        <v>601</v>
      </c>
      <c r="C20" s="43"/>
      <c r="D20" s="43"/>
      <c r="E20" s="43"/>
      <c r="F20" s="43">
        <v>12.0</v>
      </c>
      <c r="G20" s="43" t="s">
        <v>155</v>
      </c>
      <c r="H20" s="16">
        <f>Parametrar!$I$9</f>
        <v>350</v>
      </c>
      <c r="I20" s="84" t="s">
        <v>119</v>
      </c>
      <c r="J20" s="16">
        <f>F20*H20</f>
        <v>4200</v>
      </c>
      <c r="K20" s="43"/>
      <c r="L20" s="98">
        <v>4200.0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81" t="s">
        <v>147</v>
      </c>
      <c r="C21" s="81"/>
      <c r="D21" s="81"/>
      <c r="E21" s="81"/>
      <c r="F21" s="81"/>
      <c r="G21" s="81"/>
      <c r="H21" s="81"/>
      <c r="I21" s="81"/>
      <c r="J21" s="82">
        <f>SUM(J20)</f>
        <v>4200</v>
      </c>
      <c r="K21" s="81"/>
      <c r="L21" s="37">
        <v>4200.0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16"/>
      <c r="K22" s="43"/>
      <c r="L22" s="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80">
        <v>6070.0</v>
      </c>
      <c r="B23" s="52" t="s">
        <v>457</v>
      </c>
      <c r="C23" s="43"/>
      <c r="D23" s="43"/>
      <c r="E23" s="43"/>
      <c r="F23" s="43"/>
      <c r="G23" s="43"/>
      <c r="H23" s="43"/>
      <c r="I23" s="43"/>
      <c r="J23" s="16"/>
      <c r="K23" s="43"/>
      <c r="L23" s="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602</v>
      </c>
      <c r="C24" s="43"/>
      <c r="D24" s="43"/>
      <c r="E24" s="43"/>
      <c r="F24" s="43"/>
      <c r="G24" s="43"/>
      <c r="H24" s="43"/>
      <c r="I24" s="43"/>
      <c r="J24" s="16">
        <v>0.0</v>
      </c>
      <c r="K24" s="43"/>
      <c r="L24" s="11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 t="s">
        <v>603</v>
      </c>
      <c r="C25" s="43"/>
      <c r="D25" s="43"/>
      <c r="E25" s="43"/>
      <c r="F25" s="43">
        <v>0.0</v>
      </c>
      <c r="G25" s="43" t="s">
        <v>155</v>
      </c>
      <c r="H25" s="90">
        <v>1400.0</v>
      </c>
      <c r="I25" s="84" t="s">
        <v>119</v>
      </c>
      <c r="J25" s="16">
        <f>F25*H25</f>
        <v>0</v>
      </c>
      <c r="K25" s="43"/>
      <c r="L25" s="98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81" t="s">
        <v>147</v>
      </c>
      <c r="C26" s="31"/>
      <c r="D26" s="31"/>
      <c r="E26" s="31"/>
      <c r="F26" s="31"/>
      <c r="G26" s="31"/>
      <c r="H26" s="31"/>
      <c r="I26" s="31"/>
      <c r="J26" s="82">
        <f>SUM(J24:J25)</f>
        <v>0</v>
      </c>
      <c r="K26" s="31"/>
      <c r="L26" s="37">
        <v>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80">
        <v>7600.0</v>
      </c>
      <c r="B28" s="52" t="s">
        <v>157</v>
      </c>
      <c r="C28" s="43"/>
      <c r="D28" s="43"/>
      <c r="E28" s="43"/>
      <c r="F28" s="43"/>
      <c r="G28" s="43"/>
      <c r="H28" s="43"/>
      <c r="I28" s="43"/>
      <c r="J28" s="16"/>
      <c r="K28" s="43"/>
      <c r="L28" s="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3"/>
      <c r="B29" s="43" t="s">
        <v>604</v>
      </c>
      <c r="C29" s="43"/>
      <c r="D29" s="43"/>
      <c r="E29" s="43"/>
      <c r="F29" s="43"/>
      <c r="G29" s="43"/>
      <c r="H29" s="43"/>
      <c r="I29" s="43"/>
      <c r="J29" s="59">
        <v>500.0</v>
      </c>
      <c r="K29" s="43"/>
      <c r="L29" s="11">
        <v>4200.0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605</v>
      </c>
      <c r="C30" s="43"/>
      <c r="D30" s="43"/>
      <c r="E30" s="43"/>
      <c r="F30" s="43"/>
      <c r="G30" s="43"/>
      <c r="H30" s="43"/>
      <c r="I30" s="43"/>
      <c r="J30" s="16">
        <f>Parametrar!$I$8</f>
        <v>207</v>
      </c>
      <c r="K30" s="43"/>
      <c r="L30" s="11">
        <v>414.0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606</v>
      </c>
      <c r="C31" s="43"/>
      <c r="D31" s="43"/>
      <c r="E31" s="43"/>
      <c r="F31" s="43"/>
      <c r="G31" s="43"/>
      <c r="H31" s="43"/>
      <c r="I31" s="43"/>
      <c r="J31" s="16">
        <f>Parametrar!$I$8</f>
        <v>207</v>
      </c>
      <c r="K31" s="43"/>
      <c r="L31" s="98">
        <v>414.0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81" t="s">
        <v>147</v>
      </c>
      <c r="C32" s="31"/>
      <c r="D32" s="31"/>
      <c r="E32" s="31"/>
      <c r="F32" s="31"/>
      <c r="G32" s="31"/>
      <c r="H32" s="31"/>
      <c r="I32" s="31"/>
      <c r="J32" s="82">
        <f>SUM(J29:J31)</f>
        <v>914</v>
      </c>
      <c r="K32" s="31"/>
      <c r="L32" s="37">
        <v>5028.0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16"/>
      <c r="K33" s="43"/>
      <c r="L33" s="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7"/>
      <c r="B34" s="47" t="s">
        <v>4</v>
      </c>
      <c r="C34" s="47"/>
      <c r="D34" s="47"/>
      <c r="E34" s="47"/>
      <c r="F34" s="47"/>
      <c r="G34" s="47"/>
      <c r="H34" s="47"/>
      <c r="I34" s="47"/>
      <c r="J34" s="57">
        <f>SUM(J13:J33)/2</f>
        <v>5114</v>
      </c>
      <c r="K34" s="47"/>
      <c r="L34" s="144">
        <v>9228.0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16"/>
      <c r="K35" s="43"/>
      <c r="L35" s="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7"/>
      <c r="B36" s="47" t="s">
        <v>5</v>
      </c>
      <c r="C36" s="47"/>
      <c r="D36" s="47"/>
      <c r="E36" s="47"/>
      <c r="F36" s="47"/>
      <c r="G36" s="47"/>
      <c r="H36" s="47"/>
      <c r="I36" s="47"/>
      <c r="J36" s="57">
        <f>J12-J34</f>
        <v>-5114</v>
      </c>
      <c r="K36" s="47"/>
      <c r="L36" s="144">
        <v>-9228.0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C2"/>
    <mergeCell ref="A6:B6"/>
    <mergeCell ref="A7:B7"/>
    <mergeCell ref="A8:B8"/>
  </mergeCells>
  <conditionalFormatting sqref="J15:J16 J20 J24:J25 J29:J31">
    <cfRule type="cellIs" dxfId="0" priority="1" operator="greaterThan">
      <formula>L15</formula>
    </cfRule>
  </conditionalFormatting>
  <conditionalFormatting sqref="J15:J16 J20 J24:J25 J29:J31">
    <cfRule type="cellIs" dxfId="1" priority="2" operator="lessThan">
      <formula>L15</formula>
    </cfRule>
  </conditionalFormatting>
  <conditionalFormatting sqref="J8">
    <cfRule type="cellIs" dxfId="0" priority="3" operator="greaterThan">
      <formula>0</formula>
    </cfRule>
  </conditionalFormatting>
  <conditionalFormatting sqref="J8">
    <cfRule type="cellIs" dxfId="2" priority="4" operator="equal">
      <formula>0</formula>
    </cfRule>
  </conditionalFormatting>
  <conditionalFormatting sqref="J8">
    <cfRule type="cellIs" dxfId="0" priority="5" operator="greaterThanOrEqual">
      <formula>0</formula>
    </cfRule>
  </conditionalFormatting>
  <conditionalFormatting sqref="J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5.75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</cols>
  <sheetData>
    <row r="1">
      <c r="A1" s="40" t="s">
        <v>78</v>
      </c>
      <c r="B1" s="40" t="s">
        <v>607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608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J31</f>
        <v>16242</v>
      </c>
      <c r="K7" s="42"/>
      <c r="L7" s="37">
        <v>22834.0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-16242</v>
      </c>
      <c r="K8" s="42"/>
      <c r="L8" s="37">
        <v>-22834.0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52"/>
      <c r="C11" s="52"/>
      <c r="D11" s="52"/>
      <c r="E11" s="52"/>
      <c r="F11" s="52"/>
      <c r="G11" s="52"/>
      <c r="H11" s="52"/>
      <c r="I11" s="52"/>
      <c r="J11" s="73"/>
      <c r="K11" s="52"/>
      <c r="L11" s="7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147">
        <v>0.0</v>
      </c>
      <c r="K12" s="47"/>
      <c r="L12" s="14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K18" s="52"/>
      <c r="L18" s="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609</v>
      </c>
      <c r="C19" s="43"/>
      <c r="D19" s="43"/>
      <c r="E19" s="43"/>
      <c r="F19" s="43"/>
      <c r="H19" s="16"/>
      <c r="I19" s="43"/>
      <c r="J19" s="59">
        <v>0.0</v>
      </c>
      <c r="K19" s="43"/>
      <c r="L19" s="98">
        <v>350.0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SUM(J19)</f>
        <v>0</v>
      </c>
      <c r="K20" s="81"/>
      <c r="L20" s="37">
        <v>350.0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52"/>
      <c r="C21" s="43"/>
      <c r="D21" s="43"/>
      <c r="E21" s="43"/>
      <c r="F21" s="43"/>
      <c r="G21" s="43"/>
      <c r="H21" s="43"/>
      <c r="I21" s="43"/>
      <c r="J21" s="73"/>
      <c r="K21" s="43"/>
      <c r="L21" s="7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7600.0</v>
      </c>
      <c r="B22" s="52" t="s">
        <v>157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610</v>
      </c>
      <c r="C23" s="43"/>
      <c r="D23" s="43"/>
      <c r="E23" s="43"/>
      <c r="F23" s="43"/>
      <c r="G23" s="43"/>
      <c r="H23" s="16"/>
      <c r="I23" s="43"/>
      <c r="J23" s="16">
        <f>Parametrar!$I$8</f>
        <v>207</v>
      </c>
      <c r="K23" s="43"/>
      <c r="L23" s="16">
        <v>414.0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611</v>
      </c>
      <c r="C24" s="43"/>
      <c r="D24" s="43"/>
      <c r="E24" s="43"/>
      <c r="F24" s="43">
        <v>5.0</v>
      </c>
      <c r="G24" s="43" t="s">
        <v>155</v>
      </c>
      <c r="H24" s="16">
        <f>Parametrar!$I$8</f>
        <v>207</v>
      </c>
      <c r="I24" s="84" t="s">
        <v>119</v>
      </c>
      <c r="J24" s="16">
        <f>F24*H24</f>
        <v>1035</v>
      </c>
      <c r="K24" s="43"/>
      <c r="L24" s="16">
        <v>2070.0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SUM(J23:J24)</f>
        <v>1242</v>
      </c>
      <c r="K25" s="31"/>
      <c r="L25" s="82">
        <v>2484.0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80">
        <v>7604.0</v>
      </c>
      <c r="B27" s="52" t="s">
        <v>400</v>
      </c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612</v>
      </c>
      <c r="C28" s="43"/>
      <c r="D28" s="43"/>
      <c r="E28" s="43"/>
      <c r="F28" s="54">
        <v>0.5</v>
      </c>
      <c r="G28" s="43" t="s">
        <v>155</v>
      </c>
      <c r="H28" s="43">
        <v>40000.0</v>
      </c>
      <c r="I28" s="84" t="s">
        <v>119</v>
      </c>
      <c r="J28" s="16">
        <f>15000</f>
        <v>15000</v>
      </c>
      <c r="K28" s="43"/>
      <c r="L28" s="16">
        <v>20000.0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SUM(J28)</f>
        <v>15000</v>
      </c>
      <c r="K29" s="81"/>
      <c r="L29" s="82">
        <v>20000.0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7"/>
      <c r="B31" s="47" t="s">
        <v>4</v>
      </c>
      <c r="C31" s="47"/>
      <c r="D31" s="47"/>
      <c r="E31" s="47"/>
      <c r="F31" s="47"/>
      <c r="G31" s="47"/>
      <c r="H31" s="47"/>
      <c r="I31" s="47"/>
      <c r="J31" s="57">
        <f>SUM(J13:J30)/2</f>
        <v>16242</v>
      </c>
      <c r="K31" s="47"/>
      <c r="L31" s="57">
        <v>22834.0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7"/>
      <c r="B33" s="47" t="s">
        <v>5</v>
      </c>
      <c r="C33" s="47"/>
      <c r="D33" s="47"/>
      <c r="E33" s="47"/>
      <c r="F33" s="47"/>
      <c r="G33" s="47"/>
      <c r="H33" s="47"/>
      <c r="I33" s="47"/>
      <c r="J33" s="57">
        <f>J12-J31</f>
        <v>-16242</v>
      </c>
      <c r="K33" s="47"/>
      <c r="L33" s="57">
        <v>-22834.0</v>
      </c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9"/>
      <c r="E190" s="49"/>
      <c r="F190" s="49"/>
      <c r="G190" s="49"/>
      <c r="H190" s="49"/>
      <c r="I190" s="49"/>
      <c r="J190" s="49"/>
      <c r="K190" s="49"/>
      <c r="L190" s="99"/>
      <c r="M190" s="49"/>
      <c r="N190" s="49"/>
      <c r="O190" s="49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9"/>
      <c r="E191" s="49"/>
      <c r="F191" s="49"/>
      <c r="G191" s="49"/>
      <c r="H191" s="49"/>
      <c r="I191" s="49"/>
      <c r="J191" s="49"/>
      <c r="K191" s="49"/>
      <c r="L191" s="99"/>
      <c r="M191" s="49"/>
      <c r="N191" s="49"/>
      <c r="O191" s="49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9"/>
      <c r="E192" s="49"/>
      <c r="F192" s="49"/>
      <c r="G192" s="49"/>
      <c r="H192" s="49"/>
      <c r="I192" s="49"/>
      <c r="J192" s="49"/>
      <c r="K192" s="49"/>
      <c r="L192" s="99"/>
      <c r="M192" s="49"/>
      <c r="N192" s="49"/>
      <c r="O192" s="49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9"/>
      <c r="E193" s="49"/>
      <c r="F193" s="49"/>
      <c r="G193" s="49"/>
      <c r="H193" s="49"/>
      <c r="I193" s="49"/>
      <c r="J193" s="49"/>
      <c r="K193" s="49"/>
      <c r="L193" s="99"/>
      <c r="M193" s="49"/>
      <c r="N193" s="49"/>
      <c r="O193" s="49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9"/>
      <c r="E194" s="49"/>
      <c r="F194" s="49"/>
      <c r="G194" s="49"/>
      <c r="H194" s="49"/>
      <c r="I194" s="49"/>
      <c r="J194" s="49"/>
      <c r="K194" s="49"/>
      <c r="L194" s="99"/>
      <c r="M194" s="49"/>
      <c r="N194" s="49"/>
      <c r="O194" s="49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9"/>
      <c r="E195" s="49"/>
      <c r="F195" s="49"/>
      <c r="G195" s="49"/>
      <c r="H195" s="49"/>
      <c r="I195" s="49"/>
      <c r="J195" s="49"/>
      <c r="K195" s="49"/>
      <c r="L195" s="99"/>
      <c r="M195" s="49"/>
      <c r="N195" s="49"/>
      <c r="O195" s="49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9"/>
      <c r="E196" s="49"/>
      <c r="F196" s="49"/>
      <c r="G196" s="49"/>
      <c r="H196" s="49"/>
      <c r="I196" s="49"/>
      <c r="J196" s="49"/>
      <c r="K196" s="49"/>
      <c r="L196" s="99"/>
      <c r="M196" s="49"/>
      <c r="N196" s="49"/>
      <c r="O196" s="49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9"/>
      <c r="E197" s="49"/>
      <c r="F197" s="49"/>
      <c r="G197" s="49"/>
      <c r="H197" s="49"/>
      <c r="I197" s="49"/>
      <c r="J197" s="49"/>
      <c r="K197" s="49"/>
      <c r="L197" s="99"/>
      <c r="M197" s="49"/>
      <c r="N197" s="49"/>
      <c r="O197" s="49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9"/>
      <c r="E198" s="49"/>
      <c r="F198" s="49"/>
      <c r="G198" s="49"/>
      <c r="H198" s="49"/>
      <c r="I198" s="49"/>
      <c r="J198" s="49"/>
      <c r="K198" s="49"/>
      <c r="L198" s="99"/>
      <c r="M198" s="49"/>
      <c r="N198" s="49"/>
      <c r="O198" s="49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9"/>
      <c r="E199" s="49"/>
      <c r="F199" s="49"/>
      <c r="G199" s="49"/>
      <c r="H199" s="49"/>
      <c r="I199" s="49"/>
      <c r="J199" s="49"/>
      <c r="K199" s="49"/>
      <c r="L199" s="99"/>
      <c r="M199" s="49"/>
      <c r="N199" s="49"/>
      <c r="O199" s="49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9"/>
      <c r="E200" s="49"/>
      <c r="F200" s="49"/>
      <c r="G200" s="49"/>
      <c r="H200" s="49"/>
      <c r="I200" s="49"/>
      <c r="J200" s="49"/>
      <c r="K200" s="49"/>
      <c r="L200" s="99"/>
      <c r="M200" s="49"/>
      <c r="N200" s="49"/>
      <c r="O200" s="49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9"/>
      <c r="E201" s="49"/>
      <c r="F201" s="49"/>
      <c r="G201" s="49"/>
      <c r="H201" s="49"/>
      <c r="I201" s="49"/>
      <c r="J201" s="49"/>
      <c r="K201" s="49"/>
      <c r="L201" s="99"/>
      <c r="M201" s="49"/>
      <c r="N201" s="49"/>
      <c r="O201" s="49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9"/>
      <c r="E202" s="49"/>
      <c r="F202" s="49"/>
      <c r="G202" s="49"/>
      <c r="H202" s="49"/>
      <c r="I202" s="49"/>
      <c r="J202" s="49"/>
      <c r="K202" s="49"/>
      <c r="L202" s="99"/>
      <c r="M202" s="49"/>
      <c r="N202" s="49"/>
      <c r="O202" s="49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9"/>
      <c r="E203" s="49"/>
      <c r="F203" s="49"/>
      <c r="G203" s="49"/>
      <c r="H203" s="49"/>
      <c r="I203" s="49"/>
      <c r="J203" s="49"/>
      <c r="K203" s="49"/>
      <c r="L203" s="99"/>
      <c r="M203" s="49"/>
      <c r="N203" s="49"/>
      <c r="O203" s="49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9"/>
      <c r="E204" s="49"/>
      <c r="F204" s="49"/>
      <c r="G204" s="49"/>
      <c r="H204" s="49"/>
      <c r="I204" s="49"/>
      <c r="J204" s="49"/>
      <c r="K204" s="49"/>
      <c r="L204" s="99"/>
      <c r="M204" s="49"/>
      <c r="N204" s="49"/>
      <c r="O204" s="49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9"/>
      <c r="E205" s="49"/>
      <c r="F205" s="49"/>
      <c r="G205" s="49"/>
      <c r="H205" s="49"/>
      <c r="I205" s="49"/>
      <c r="J205" s="49"/>
      <c r="K205" s="49"/>
      <c r="L205" s="99"/>
      <c r="M205" s="49"/>
      <c r="N205" s="49"/>
      <c r="O205" s="49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9"/>
      <c r="E206" s="49"/>
      <c r="F206" s="49"/>
      <c r="G206" s="49"/>
      <c r="H206" s="49"/>
      <c r="I206" s="49"/>
      <c r="J206" s="49"/>
      <c r="K206" s="49"/>
      <c r="L206" s="99"/>
      <c r="M206" s="49"/>
      <c r="N206" s="49"/>
      <c r="O206" s="49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9"/>
      <c r="E207" s="49"/>
      <c r="F207" s="49"/>
      <c r="G207" s="49"/>
      <c r="H207" s="49"/>
      <c r="I207" s="49"/>
      <c r="J207" s="49"/>
      <c r="K207" s="49"/>
      <c r="L207" s="99"/>
      <c r="M207" s="49"/>
      <c r="N207" s="49"/>
      <c r="O207" s="49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9"/>
      <c r="E208" s="49"/>
      <c r="F208" s="49"/>
      <c r="G208" s="49"/>
      <c r="H208" s="49"/>
      <c r="I208" s="49"/>
      <c r="J208" s="49"/>
      <c r="K208" s="49"/>
      <c r="L208" s="99"/>
      <c r="M208" s="49"/>
      <c r="N208" s="49"/>
      <c r="O208" s="49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9"/>
      <c r="E209" s="49"/>
      <c r="F209" s="49"/>
      <c r="G209" s="49"/>
      <c r="H209" s="49"/>
      <c r="I209" s="49"/>
      <c r="J209" s="49"/>
      <c r="K209" s="49"/>
      <c r="L209" s="99"/>
      <c r="M209" s="49"/>
      <c r="N209" s="49"/>
      <c r="O209" s="49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9"/>
      <c r="E210" s="49"/>
      <c r="F210" s="49"/>
      <c r="G210" s="49"/>
      <c r="H210" s="49"/>
      <c r="I210" s="49"/>
      <c r="J210" s="49"/>
      <c r="K210" s="49"/>
      <c r="L210" s="99"/>
      <c r="M210" s="49"/>
      <c r="N210" s="49"/>
      <c r="O210" s="49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9"/>
      <c r="E211" s="49"/>
      <c r="F211" s="49"/>
      <c r="G211" s="49"/>
      <c r="H211" s="49"/>
      <c r="I211" s="49"/>
      <c r="J211" s="49"/>
      <c r="K211" s="49"/>
      <c r="L211" s="99"/>
      <c r="M211" s="49"/>
      <c r="N211" s="49"/>
      <c r="O211" s="49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9"/>
      <c r="E212" s="49"/>
      <c r="F212" s="49"/>
      <c r="G212" s="49"/>
      <c r="H212" s="49"/>
      <c r="I212" s="49"/>
      <c r="J212" s="49"/>
      <c r="K212" s="49"/>
      <c r="L212" s="99"/>
      <c r="M212" s="49"/>
      <c r="N212" s="49"/>
      <c r="O212" s="49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9"/>
      <c r="E213" s="49"/>
      <c r="F213" s="49"/>
      <c r="G213" s="49"/>
      <c r="H213" s="49"/>
      <c r="I213" s="49"/>
      <c r="J213" s="49"/>
      <c r="K213" s="49"/>
      <c r="L213" s="99"/>
      <c r="M213" s="49"/>
      <c r="N213" s="49"/>
      <c r="O213" s="49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9"/>
      <c r="E214" s="49"/>
      <c r="F214" s="49"/>
      <c r="G214" s="49"/>
      <c r="H214" s="49"/>
      <c r="I214" s="49"/>
      <c r="J214" s="49"/>
      <c r="K214" s="49"/>
      <c r="L214" s="99"/>
      <c r="M214" s="49"/>
      <c r="N214" s="49"/>
      <c r="O214" s="49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9"/>
      <c r="E215" s="49"/>
      <c r="F215" s="49"/>
      <c r="G215" s="49"/>
      <c r="H215" s="49"/>
      <c r="I215" s="49"/>
      <c r="J215" s="49"/>
      <c r="K215" s="49"/>
      <c r="L215" s="99"/>
      <c r="M215" s="49"/>
      <c r="N215" s="49"/>
      <c r="O215" s="49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9"/>
      <c r="E216" s="49"/>
      <c r="F216" s="49"/>
      <c r="G216" s="49"/>
      <c r="H216" s="49"/>
      <c r="I216" s="49"/>
      <c r="J216" s="49"/>
      <c r="K216" s="49"/>
      <c r="L216" s="99"/>
      <c r="M216" s="49"/>
      <c r="N216" s="49"/>
      <c r="O216" s="49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9"/>
      <c r="E217" s="49"/>
      <c r="F217" s="49"/>
      <c r="G217" s="49"/>
      <c r="H217" s="49"/>
      <c r="I217" s="49"/>
      <c r="J217" s="49"/>
      <c r="K217" s="49"/>
      <c r="L217" s="99"/>
      <c r="M217" s="49"/>
      <c r="N217" s="49"/>
      <c r="O217" s="49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9"/>
      <c r="E218" s="49"/>
      <c r="F218" s="49"/>
      <c r="G218" s="49"/>
      <c r="H218" s="49"/>
      <c r="I218" s="49"/>
      <c r="J218" s="49"/>
      <c r="K218" s="49"/>
      <c r="L218" s="99"/>
      <c r="M218" s="49"/>
      <c r="N218" s="49"/>
      <c r="O218" s="49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9"/>
      <c r="E219" s="49"/>
      <c r="F219" s="49"/>
      <c r="G219" s="49"/>
      <c r="H219" s="49"/>
      <c r="I219" s="49"/>
      <c r="J219" s="49"/>
      <c r="K219" s="49"/>
      <c r="L219" s="99"/>
      <c r="M219" s="49"/>
      <c r="N219" s="49"/>
      <c r="O219" s="49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9"/>
      <c r="E220" s="49"/>
      <c r="F220" s="49"/>
      <c r="G220" s="49"/>
      <c r="H220" s="49"/>
      <c r="I220" s="49"/>
      <c r="J220" s="49"/>
      <c r="K220" s="49"/>
      <c r="L220" s="99"/>
      <c r="M220" s="49"/>
      <c r="N220" s="49"/>
      <c r="O220" s="49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9"/>
      <c r="E221" s="49"/>
      <c r="F221" s="49"/>
      <c r="G221" s="49"/>
      <c r="H221" s="49"/>
      <c r="I221" s="49"/>
      <c r="J221" s="49"/>
      <c r="K221" s="49"/>
      <c r="L221" s="99"/>
      <c r="M221" s="49"/>
      <c r="N221" s="49"/>
      <c r="O221" s="49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9"/>
      <c r="E222" s="49"/>
      <c r="F222" s="49"/>
      <c r="G222" s="49"/>
      <c r="H222" s="49"/>
      <c r="I222" s="49"/>
      <c r="J222" s="49"/>
      <c r="K222" s="49"/>
      <c r="L222" s="99"/>
      <c r="M222" s="49"/>
      <c r="N222" s="49"/>
      <c r="O222" s="49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9"/>
      <c r="E223" s="49"/>
      <c r="F223" s="49"/>
      <c r="G223" s="49"/>
      <c r="H223" s="49"/>
      <c r="I223" s="49"/>
      <c r="J223" s="49"/>
      <c r="K223" s="49"/>
      <c r="L223" s="99"/>
      <c r="M223" s="49"/>
      <c r="N223" s="49"/>
      <c r="O223" s="49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9"/>
      <c r="E224" s="49"/>
      <c r="F224" s="49"/>
      <c r="G224" s="49"/>
      <c r="H224" s="49"/>
      <c r="I224" s="49"/>
      <c r="J224" s="49"/>
      <c r="K224" s="49"/>
      <c r="L224" s="99"/>
      <c r="M224" s="49"/>
      <c r="N224" s="49"/>
      <c r="O224" s="49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9"/>
      <c r="E225" s="49"/>
      <c r="F225" s="49"/>
      <c r="G225" s="49"/>
      <c r="H225" s="49"/>
      <c r="I225" s="49"/>
      <c r="J225" s="49"/>
      <c r="K225" s="49"/>
      <c r="L225" s="99"/>
      <c r="M225" s="49"/>
      <c r="N225" s="49"/>
      <c r="O225" s="49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9"/>
      <c r="E226" s="49"/>
      <c r="F226" s="49"/>
      <c r="G226" s="49"/>
      <c r="H226" s="49"/>
      <c r="I226" s="49"/>
      <c r="J226" s="49"/>
      <c r="K226" s="49"/>
      <c r="L226" s="99"/>
      <c r="M226" s="49"/>
      <c r="N226" s="49"/>
      <c r="O226" s="49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9"/>
      <c r="E227" s="49"/>
      <c r="F227" s="49"/>
      <c r="G227" s="49"/>
      <c r="H227" s="49"/>
      <c r="I227" s="49"/>
      <c r="J227" s="49"/>
      <c r="K227" s="49"/>
      <c r="L227" s="99"/>
      <c r="M227" s="49"/>
      <c r="N227" s="49"/>
      <c r="O227" s="49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9"/>
      <c r="E228" s="49"/>
      <c r="F228" s="49"/>
      <c r="G228" s="49"/>
      <c r="H228" s="49"/>
      <c r="I228" s="49"/>
      <c r="J228" s="49"/>
      <c r="K228" s="49"/>
      <c r="L228" s="99"/>
      <c r="M228" s="49"/>
      <c r="N228" s="49"/>
      <c r="O228" s="49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9"/>
      <c r="E229" s="49"/>
      <c r="F229" s="49"/>
      <c r="G229" s="49"/>
      <c r="H229" s="49"/>
      <c r="I229" s="49"/>
      <c r="J229" s="49"/>
      <c r="K229" s="49"/>
      <c r="L229" s="99"/>
      <c r="M229" s="49"/>
      <c r="N229" s="49"/>
      <c r="O229" s="49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9"/>
      <c r="E230" s="49"/>
      <c r="F230" s="49"/>
      <c r="G230" s="49"/>
      <c r="H230" s="49"/>
      <c r="I230" s="49"/>
      <c r="J230" s="49"/>
      <c r="K230" s="49"/>
      <c r="L230" s="99"/>
      <c r="M230" s="49"/>
      <c r="N230" s="49"/>
      <c r="O230" s="49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9"/>
      <c r="E231" s="49"/>
      <c r="F231" s="49"/>
      <c r="G231" s="49"/>
      <c r="H231" s="49"/>
      <c r="I231" s="49"/>
      <c r="J231" s="49"/>
      <c r="K231" s="49"/>
      <c r="L231" s="99"/>
      <c r="M231" s="49"/>
      <c r="N231" s="49"/>
      <c r="O231" s="49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9"/>
      <c r="E232" s="49"/>
      <c r="F232" s="49"/>
      <c r="G232" s="49"/>
      <c r="H232" s="49"/>
      <c r="I232" s="49"/>
      <c r="J232" s="49"/>
      <c r="K232" s="49"/>
      <c r="L232" s="99"/>
      <c r="M232" s="49"/>
      <c r="N232" s="49"/>
      <c r="O232" s="49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9"/>
      <c r="E233" s="49"/>
      <c r="F233" s="49"/>
      <c r="G233" s="49"/>
      <c r="H233" s="49"/>
      <c r="I233" s="49"/>
      <c r="J233" s="49"/>
      <c r="K233" s="49"/>
      <c r="L233" s="99"/>
      <c r="M233" s="49"/>
      <c r="N233" s="49"/>
      <c r="O233" s="49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</row>
    <row r="235" ht="15.75" customHeight="1"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</row>
    <row r="236" ht="15.75" customHeight="1"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</row>
    <row r="237" ht="15.75" customHeight="1"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</row>
    <row r="238" ht="15.75" customHeight="1"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</row>
    <row r="239" ht="15.75" customHeight="1"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ht="15.75" customHeight="1"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ht="15.75" customHeight="1"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ht="15.75" customHeight="1"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ht="15.75" customHeight="1"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ht="15.75" customHeight="1"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ht="15.75" customHeight="1"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 J24 J28">
    <cfRule type="cellIs" dxfId="0" priority="1" operator="greaterThan">
      <formula>L15</formula>
    </cfRule>
  </conditionalFormatting>
  <conditionalFormatting sqref="J15 J19 J24 J28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5.75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8.25"/>
  </cols>
  <sheetData>
    <row r="1">
      <c r="A1" s="40" t="s">
        <v>79</v>
      </c>
      <c r="B1" s="40" t="s">
        <v>613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608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J31</f>
        <v>16242</v>
      </c>
      <c r="K7" s="42"/>
      <c r="L7" s="37">
        <v>32834.0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-16242</v>
      </c>
      <c r="K8" s="42"/>
      <c r="L8" s="37">
        <v>-32834.0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52"/>
      <c r="C11" s="52"/>
      <c r="D11" s="52"/>
      <c r="E11" s="52"/>
      <c r="F11" s="52"/>
      <c r="G11" s="52"/>
      <c r="H11" s="52"/>
      <c r="I11" s="52"/>
      <c r="J11" s="73"/>
      <c r="K11" s="52"/>
      <c r="L11" s="73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147">
        <v>0.0</v>
      </c>
      <c r="K12" s="47"/>
      <c r="L12" s="14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4002.0</v>
      </c>
      <c r="B14" s="52" t="s">
        <v>145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K18" s="52"/>
      <c r="L18" s="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 t="s">
        <v>609</v>
      </c>
      <c r="C19" s="43"/>
      <c r="D19" s="43"/>
      <c r="E19" s="43"/>
      <c r="F19" s="43"/>
      <c r="H19" s="16"/>
      <c r="I19" s="43"/>
      <c r="J19" s="59">
        <v>0.0</v>
      </c>
      <c r="K19" s="43"/>
      <c r="L19" s="98">
        <v>350.0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43"/>
      <c r="B20" s="81" t="s">
        <v>147</v>
      </c>
      <c r="C20" s="81"/>
      <c r="D20" s="81"/>
      <c r="E20" s="81"/>
      <c r="F20" s="81"/>
      <c r="G20" s="81"/>
      <c r="H20" s="81"/>
      <c r="I20" s="81"/>
      <c r="J20" s="82">
        <f>SUM(J19)</f>
        <v>0</v>
      </c>
      <c r="K20" s="81"/>
      <c r="L20" s="37">
        <v>350.0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52"/>
      <c r="C21" s="43"/>
      <c r="D21" s="43"/>
      <c r="E21" s="43"/>
      <c r="F21" s="43"/>
      <c r="G21" s="43"/>
      <c r="H21" s="43"/>
      <c r="I21" s="43"/>
      <c r="J21" s="73"/>
      <c r="K21" s="43"/>
      <c r="L21" s="73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7600.0</v>
      </c>
      <c r="B22" s="52" t="s">
        <v>157</v>
      </c>
      <c r="C22" s="43"/>
      <c r="D22" s="43"/>
      <c r="E22" s="43"/>
      <c r="F22" s="43"/>
      <c r="G22" s="43"/>
      <c r="H22" s="43"/>
      <c r="I22" s="43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610</v>
      </c>
      <c r="C23" s="43"/>
      <c r="D23" s="43"/>
      <c r="E23" s="43"/>
      <c r="F23" s="43"/>
      <c r="G23" s="43"/>
      <c r="H23" s="16"/>
      <c r="I23" s="43"/>
      <c r="J23" s="16">
        <f>Parametrar!$I$8</f>
        <v>207</v>
      </c>
      <c r="K23" s="43"/>
      <c r="L23" s="16">
        <v>414.0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611</v>
      </c>
      <c r="C24" s="43"/>
      <c r="D24" s="43"/>
      <c r="E24" s="43"/>
      <c r="F24" s="43">
        <v>5.0</v>
      </c>
      <c r="G24" s="43" t="s">
        <v>155</v>
      </c>
      <c r="H24" s="16">
        <f>Parametrar!$I$8</f>
        <v>207</v>
      </c>
      <c r="I24" s="84" t="s">
        <v>119</v>
      </c>
      <c r="J24" s="16">
        <f>F24*H24</f>
        <v>1035</v>
      </c>
      <c r="K24" s="43"/>
      <c r="L24" s="16">
        <v>2070.0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SUM(J23:J24)</f>
        <v>1242</v>
      </c>
      <c r="K25" s="31"/>
      <c r="L25" s="82">
        <v>2484.0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16"/>
      <c r="K26" s="43"/>
      <c r="L26" s="16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80">
        <v>7604.0</v>
      </c>
      <c r="B27" s="52" t="s">
        <v>400</v>
      </c>
      <c r="C27" s="52"/>
      <c r="D27" s="52"/>
      <c r="E27" s="52"/>
      <c r="F27" s="52"/>
      <c r="G27" s="52"/>
      <c r="H27" s="52"/>
      <c r="I27" s="52"/>
      <c r="J27" s="73"/>
      <c r="K27" s="52"/>
      <c r="L27" s="73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614</v>
      </c>
      <c r="C28" s="43"/>
      <c r="D28" s="43"/>
      <c r="E28" s="43"/>
      <c r="F28" s="54">
        <v>1.0</v>
      </c>
      <c r="G28" s="43" t="s">
        <v>155</v>
      </c>
      <c r="H28" s="54">
        <v>15000.0</v>
      </c>
      <c r="I28" s="84" t="s">
        <v>119</v>
      </c>
      <c r="J28" s="16">
        <f>F28*H28</f>
        <v>15000</v>
      </c>
      <c r="K28" s="43"/>
      <c r="L28" s="16">
        <v>30000.0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B29" s="81" t="s">
        <v>147</v>
      </c>
      <c r="C29" s="81"/>
      <c r="D29" s="81"/>
      <c r="E29" s="81"/>
      <c r="F29" s="81"/>
      <c r="G29" s="81"/>
      <c r="H29" s="81"/>
      <c r="I29" s="81"/>
      <c r="J29" s="82">
        <f>SUM(J28)</f>
        <v>15000</v>
      </c>
      <c r="K29" s="81"/>
      <c r="L29" s="82">
        <v>30000.0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7"/>
      <c r="B31" s="47" t="s">
        <v>4</v>
      </c>
      <c r="C31" s="47"/>
      <c r="D31" s="47"/>
      <c r="E31" s="47"/>
      <c r="F31" s="47"/>
      <c r="G31" s="47"/>
      <c r="H31" s="47"/>
      <c r="I31" s="47"/>
      <c r="J31" s="57">
        <f>SUM(J13:J30)/2</f>
        <v>16242</v>
      </c>
      <c r="K31" s="47"/>
      <c r="L31" s="57">
        <v>32834.0</v>
      </c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7"/>
      <c r="B33" s="47" t="s">
        <v>5</v>
      </c>
      <c r="C33" s="47"/>
      <c r="D33" s="47"/>
      <c r="E33" s="47"/>
      <c r="F33" s="47"/>
      <c r="G33" s="47"/>
      <c r="H33" s="47"/>
      <c r="I33" s="47"/>
      <c r="J33" s="57">
        <f>J12-J31</f>
        <v>-16242</v>
      </c>
      <c r="K33" s="47"/>
      <c r="L33" s="57">
        <v>-32834.0</v>
      </c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49"/>
      <c r="Z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9"/>
      <c r="H187" s="49"/>
      <c r="I187" s="49"/>
      <c r="J187" s="49"/>
      <c r="K187" s="49"/>
      <c r="L187" s="99"/>
      <c r="M187" s="49"/>
      <c r="N187" s="49"/>
      <c r="O187" s="49"/>
      <c r="P187" s="49"/>
      <c r="Q187" s="49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9"/>
      <c r="H188" s="49"/>
      <c r="I188" s="49"/>
      <c r="J188" s="49"/>
      <c r="K188" s="49"/>
      <c r="L188" s="99"/>
      <c r="M188" s="49"/>
      <c r="N188" s="49"/>
      <c r="O188" s="49"/>
      <c r="P188" s="49"/>
      <c r="Q188" s="49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9"/>
      <c r="H189" s="49"/>
      <c r="I189" s="49"/>
      <c r="J189" s="49"/>
      <c r="K189" s="49"/>
      <c r="L189" s="99"/>
      <c r="M189" s="49"/>
      <c r="N189" s="49"/>
      <c r="O189" s="49"/>
      <c r="P189" s="49"/>
      <c r="Q189" s="49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9"/>
      <c r="H190" s="49"/>
      <c r="I190" s="49"/>
      <c r="J190" s="49"/>
      <c r="K190" s="49"/>
      <c r="L190" s="99"/>
      <c r="M190" s="49"/>
      <c r="N190" s="49"/>
      <c r="O190" s="49"/>
      <c r="P190" s="49"/>
      <c r="Q190" s="49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9"/>
      <c r="H191" s="49"/>
      <c r="I191" s="49"/>
      <c r="J191" s="49"/>
      <c r="K191" s="49"/>
      <c r="L191" s="99"/>
      <c r="M191" s="49"/>
      <c r="N191" s="49"/>
      <c r="O191" s="49"/>
      <c r="P191" s="49"/>
      <c r="Q191" s="49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9"/>
      <c r="H192" s="49"/>
      <c r="I192" s="49"/>
      <c r="J192" s="49"/>
      <c r="K192" s="49"/>
      <c r="L192" s="99"/>
      <c r="M192" s="49"/>
      <c r="N192" s="49"/>
      <c r="O192" s="49"/>
      <c r="P192" s="49"/>
      <c r="Q192" s="49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9"/>
      <c r="H193" s="49"/>
      <c r="I193" s="49"/>
      <c r="J193" s="49"/>
      <c r="K193" s="49"/>
      <c r="L193" s="99"/>
      <c r="M193" s="49"/>
      <c r="N193" s="49"/>
      <c r="O193" s="49"/>
      <c r="P193" s="49"/>
      <c r="Q193" s="49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9"/>
      <c r="H194" s="49"/>
      <c r="I194" s="49"/>
      <c r="J194" s="49"/>
      <c r="K194" s="49"/>
      <c r="L194" s="99"/>
      <c r="M194" s="49"/>
      <c r="N194" s="49"/>
      <c r="O194" s="49"/>
      <c r="P194" s="49"/>
      <c r="Q194" s="49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9"/>
      <c r="H195" s="49"/>
      <c r="I195" s="49"/>
      <c r="J195" s="49"/>
      <c r="K195" s="49"/>
      <c r="L195" s="99"/>
      <c r="M195" s="49"/>
      <c r="N195" s="49"/>
      <c r="O195" s="49"/>
      <c r="P195" s="49"/>
      <c r="Q195" s="49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9"/>
      <c r="H196" s="49"/>
      <c r="I196" s="49"/>
      <c r="J196" s="49"/>
      <c r="K196" s="49"/>
      <c r="L196" s="99"/>
      <c r="M196" s="49"/>
      <c r="N196" s="49"/>
      <c r="O196" s="49"/>
      <c r="P196" s="49"/>
      <c r="Q196" s="49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9"/>
      <c r="H197" s="49"/>
      <c r="I197" s="49"/>
      <c r="J197" s="49"/>
      <c r="K197" s="49"/>
      <c r="L197" s="99"/>
      <c r="M197" s="49"/>
      <c r="N197" s="49"/>
      <c r="O197" s="49"/>
      <c r="P197" s="49"/>
      <c r="Q197" s="49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9"/>
      <c r="H198" s="49"/>
      <c r="I198" s="49"/>
      <c r="J198" s="49"/>
      <c r="K198" s="49"/>
      <c r="L198" s="99"/>
      <c r="M198" s="49"/>
      <c r="N198" s="49"/>
      <c r="O198" s="49"/>
      <c r="P198" s="49"/>
      <c r="Q198" s="49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9"/>
      <c r="H199" s="49"/>
      <c r="I199" s="49"/>
      <c r="J199" s="49"/>
      <c r="K199" s="49"/>
      <c r="L199" s="99"/>
      <c r="M199" s="49"/>
      <c r="N199" s="49"/>
      <c r="O199" s="49"/>
      <c r="P199" s="49"/>
      <c r="Q199" s="49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9"/>
      <c r="H200" s="49"/>
      <c r="I200" s="49"/>
      <c r="J200" s="49"/>
      <c r="K200" s="49"/>
      <c r="L200" s="99"/>
      <c r="M200" s="49"/>
      <c r="N200" s="49"/>
      <c r="O200" s="49"/>
      <c r="P200" s="49"/>
      <c r="Q200" s="49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9"/>
      <c r="H201" s="49"/>
      <c r="I201" s="49"/>
      <c r="J201" s="49"/>
      <c r="K201" s="49"/>
      <c r="L201" s="99"/>
      <c r="M201" s="49"/>
      <c r="N201" s="49"/>
      <c r="O201" s="49"/>
      <c r="P201" s="49"/>
      <c r="Q201" s="49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9"/>
      <c r="H202" s="49"/>
      <c r="I202" s="49"/>
      <c r="J202" s="49"/>
      <c r="K202" s="49"/>
      <c r="L202" s="99"/>
      <c r="M202" s="49"/>
      <c r="N202" s="49"/>
      <c r="O202" s="49"/>
      <c r="P202" s="49"/>
      <c r="Q202" s="49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9"/>
      <c r="H203" s="49"/>
      <c r="I203" s="49"/>
      <c r="J203" s="49"/>
      <c r="K203" s="49"/>
      <c r="L203" s="99"/>
      <c r="M203" s="49"/>
      <c r="N203" s="49"/>
      <c r="O203" s="49"/>
      <c r="P203" s="49"/>
      <c r="Q203" s="49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9"/>
      <c r="H204" s="49"/>
      <c r="I204" s="49"/>
      <c r="J204" s="49"/>
      <c r="K204" s="49"/>
      <c r="L204" s="99"/>
      <c r="M204" s="49"/>
      <c r="N204" s="49"/>
      <c r="O204" s="49"/>
      <c r="P204" s="49"/>
      <c r="Q204" s="49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9"/>
      <c r="H205" s="49"/>
      <c r="I205" s="49"/>
      <c r="J205" s="49"/>
      <c r="K205" s="49"/>
      <c r="L205" s="99"/>
      <c r="M205" s="49"/>
      <c r="N205" s="49"/>
      <c r="O205" s="49"/>
      <c r="P205" s="49"/>
      <c r="Q205" s="49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9"/>
      <c r="H206" s="49"/>
      <c r="I206" s="49"/>
      <c r="J206" s="49"/>
      <c r="K206" s="49"/>
      <c r="L206" s="99"/>
      <c r="M206" s="49"/>
      <c r="N206" s="49"/>
      <c r="O206" s="49"/>
      <c r="P206" s="49"/>
      <c r="Q206" s="49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9"/>
      <c r="H207" s="49"/>
      <c r="I207" s="49"/>
      <c r="J207" s="49"/>
      <c r="K207" s="49"/>
      <c r="L207" s="99"/>
      <c r="M207" s="49"/>
      <c r="N207" s="49"/>
      <c r="O207" s="49"/>
      <c r="P207" s="49"/>
      <c r="Q207" s="49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9"/>
      <c r="H208" s="49"/>
      <c r="I208" s="49"/>
      <c r="J208" s="49"/>
      <c r="K208" s="49"/>
      <c r="L208" s="99"/>
      <c r="M208" s="49"/>
      <c r="N208" s="49"/>
      <c r="O208" s="49"/>
      <c r="P208" s="49"/>
      <c r="Q208" s="49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9"/>
      <c r="H209" s="49"/>
      <c r="I209" s="49"/>
      <c r="J209" s="49"/>
      <c r="K209" s="49"/>
      <c r="L209" s="99"/>
      <c r="M209" s="49"/>
      <c r="N209" s="49"/>
      <c r="O209" s="49"/>
      <c r="P209" s="49"/>
      <c r="Q209" s="49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9"/>
      <c r="H210" s="49"/>
      <c r="I210" s="49"/>
      <c r="J210" s="49"/>
      <c r="K210" s="49"/>
      <c r="L210" s="99"/>
      <c r="M210" s="49"/>
      <c r="N210" s="49"/>
      <c r="O210" s="49"/>
      <c r="P210" s="49"/>
      <c r="Q210" s="49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9"/>
      <c r="H211" s="49"/>
      <c r="I211" s="49"/>
      <c r="J211" s="49"/>
      <c r="K211" s="49"/>
      <c r="L211" s="99"/>
      <c r="M211" s="49"/>
      <c r="N211" s="49"/>
      <c r="O211" s="49"/>
      <c r="P211" s="49"/>
      <c r="Q211" s="49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9"/>
      <c r="H212" s="49"/>
      <c r="I212" s="49"/>
      <c r="J212" s="49"/>
      <c r="K212" s="49"/>
      <c r="L212" s="99"/>
      <c r="M212" s="49"/>
      <c r="N212" s="49"/>
      <c r="O212" s="49"/>
      <c r="P212" s="49"/>
      <c r="Q212" s="49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9"/>
      <c r="H213" s="49"/>
      <c r="I213" s="49"/>
      <c r="J213" s="49"/>
      <c r="K213" s="49"/>
      <c r="L213" s="99"/>
      <c r="M213" s="49"/>
      <c r="N213" s="49"/>
      <c r="O213" s="49"/>
      <c r="P213" s="49"/>
      <c r="Q213" s="49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9"/>
      <c r="H214" s="49"/>
      <c r="I214" s="49"/>
      <c r="J214" s="49"/>
      <c r="K214" s="49"/>
      <c r="L214" s="99"/>
      <c r="M214" s="49"/>
      <c r="N214" s="49"/>
      <c r="O214" s="49"/>
      <c r="P214" s="49"/>
      <c r="Q214" s="49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9"/>
      <c r="H215" s="49"/>
      <c r="I215" s="49"/>
      <c r="J215" s="49"/>
      <c r="K215" s="49"/>
      <c r="L215" s="99"/>
      <c r="M215" s="49"/>
      <c r="N215" s="49"/>
      <c r="O215" s="49"/>
      <c r="P215" s="49"/>
      <c r="Q215" s="49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9"/>
      <c r="H216" s="49"/>
      <c r="I216" s="49"/>
      <c r="J216" s="49"/>
      <c r="K216" s="49"/>
      <c r="L216" s="99"/>
      <c r="M216" s="49"/>
      <c r="N216" s="49"/>
      <c r="O216" s="49"/>
      <c r="P216" s="49"/>
      <c r="Q216" s="49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9"/>
      <c r="H217" s="49"/>
      <c r="I217" s="49"/>
      <c r="J217" s="49"/>
      <c r="K217" s="49"/>
      <c r="L217" s="99"/>
      <c r="M217" s="49"/>
      <c r="N217" s="49"/>
      <c r="O217" s="49"/>
      <c r="P217" s="49"/>
      <c r="Q217" s="49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9"/>
      <c r="H218" s="49"/>
      <c r="I218" s="49"/>
      <c r="J218" s="49"/>
      <c r="K218" s="49"/>
      <c r="L218" s="99"/>
      <c r="M218" s="49"/>
      <c r="N218" s="49"/>
      <c r="O218" s="49"/>
      <c r="P218" s="49"/>
      <c r="Q218" s="49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9"/>
      <c r="H219" s="49"/>
      <c r="I219" s="49"/>
      <c r="J219" s="49"/>
      <c r="K219" s="49"/>
      <c r="L219" s="99"/>
      <c r="M219" s="49"/>
      <c r="N219" s="49"/>
      <c r="O219" s="49"/>
      <c r="P219" s="49"/>
      <c r="Q219" s="49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9"/>
      <c r="H220" s="49"/>
      <c r="I220" s="49"/>
      <c r="J220" s="49"/>
      <c r="K220" s="49"/>
      <c r="L220" s="99"/>
      <c r="M220" s="49"/>
      <c r="N220" s="49"/>
      <c r="O220" s="49"/>
      <c r="P220" s="49"/>
      <c r="Q220" s="49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9"/>
      <c r="H221" s="49"/>
      <c r="I221" s="49"/>
      <c r="J221" s="49"/>
      <c r="K221" s="49"/>
      <c r="L221" s="99"/>
      <c r="M221" s="49"/>
      <c r="N221" s="49"/>
      <c r="O221" s="49"/>
      <c r="P221" s="49"/>
      <c r="Q221" s="49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9"/>
      <c r="H222" s="49"/>
      <c r="I222" s="49"/>
      <c r="J222" s="49"/>
      <c r="K222" s="49"/>
      <c r="L222" s="99"/>
      <c r="M222" s="49"/>
      <c r="N222" s="49"/>
      <c r="O222" s="49"/>
      <c r="P222" s="49"/>
      <c r="Q222" s="49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9"/>
      <c r="H223" s="49"/>
      <c r="I223" s="49"/>
      <c r="J223" s="49"/>
      <c r="K223" s="49"/>
      <c r="L223" s="99"/>
      <c r="M223" s="49"/>
      <c r="N223" s="49"/>
      <c r="O223" s="49"/>
      <c r="P223" s="49"/>
      <c r="Q223" s="49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9"/>
      <c r="H224" s="49"/>
      <c r="I224" s="49"/>
      <c r="J224" s="49"/>
      <c r="K224" s="49"/>
      <c r="L224" s="99"/>
      <c r="M224" s="49"/>
      <c r="N224" s="49"/>
      <c r="O224" s="49"/>
      <c r="P224" s="49"/>
      <c r="Q224" s="49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9"/>
      <c r="H225" s="49"/>
      <c r="I225" s="49"/>
      <c r="J225" s="49"/>
      <c r="K225" s="49"/>
      <c r="L225" s="99"/>
      <c r="M225" s="49"/>
      <c r="N225" s="49"/>
      <c r="O225" s="49"/>
      <c r="P225" s="49"/>
      <c r="Q225" s="49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9"/>
      <c r="H226" s="49"/>
      <c r="I226" s="49"/>
      <c r="J226" s="49"/>
      <c r="K226" s="49"/>
      <c r="L226" s="99"/>
      <c r="M226" s="49"/>
      <c r="N226" s="49"/>
      <c r="O226" s="49"/>
      <c r="P226" s="49"/>
      <c r="Q226" s="49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9"/>
      <c r="H227" s="49"/>
      <c r="I227" s="49"/>
      <c r="J227" s="49"/>
      <c r="K227" s="49"/>
      <c r="L227" s="99"/>
      <c r="M227" s="49"/>
      <c r="N227" s="49"/>
      <c r="O227" s="49"/>
      <c r="P227" s="49"/>
      <c r="Q227" s="49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9"/>
      <c r="H228" s="49"/>
      <c r="I228" s="49"/>
      <c r="J228" s="49"/>
      <c r="K228" s="49"/>
      <c r="L228" s="99"/>
      <c r="M228" s="49"/>
      <c r="N228" s="49"/>
      <c r="O228" s="49"/>
      <c r="P228" s="49"/>
      <c r="Q228" s="49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9"/>
      <c r="H229" s="49"/>
      <c r="I229" s="49"/>
      <c r="J229" s="49"/>
      <c r="K229" s="49"/>
      <c r="L229" s="99"/>
      <c r="M229" s="49"/>
      <c r="N229" s="49"/>
      <c r="O229" s="49"/>
      <c r="P229" s="49"/>
      <c r="Q229" s="49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9"/>
      <c r="H230" s="49"/>
      <c r="I230" s="49"/>
      <c r="J230" s="49"/>
      <c r="K230" s="49"/>
      <c r="L230" s="99"/>
      <c r="M230" s="49"/>
      <c r="N230" s="49"/>
      <c r="O230" s="49"/>
      <c r="P230" s="49"/>
      <c r="Q230" s="49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9"/>
      <c r="H231" s="49"/>
      <c r="I231" s="49"/>
      <c r="J231" s="49"/>
      <c r="K231" s="49"/>
      <c r="L231" s="99"/>
      <c r="M231" s="49"/>
      <c r="N231" s="49"/>
      <c r="O231" s="49"/>
      <c r="P231" s="49"/>
      <c r="Q231" s="49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9"/>
      <c r="H232" s="49"/>
      <c r="I232" s="49"/>
      <c r="J232" s="49"/>
      <c r="K232" s="49"/>
      <c r="L232" s="99"/>
      <c r="M232" s="49"/>
      <c r="N232" s="49"/>
      <c r="O232" s="49"/>
      <c r="P232" s="49"/>
      <c r="Q232" s="49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9"/>
      <c r="H233" s="49"/>
      <c r="I233" s="49"/>
      <c r="J233" s="49"/>
      <c r="K233" s="49"/>
      <c r="L233" s="99"/>
      <c r="M233" s="49"/>
      <c r="N233" s="49"/>
      <c r="O233" s="49"/>
      <c r="P233" s="49"/>
      <c r="Q233" s="49"/>
      <c r="R233" s="43"/>
      <c r="S233" s="43"/>
      <c r="T233" s="43"/>
      <c r="U233" s="43"/>
      <c r="V233" s="43"/>
      <c r="W233" s="43"/>
      <c r="X233" s="43"/>
    </row>
    <row r="234" ht="15.75" customHeight="1"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ht="15.75" customHeight="1"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ht="15.75" customHeight="1"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ht="15.75" customHeight="1"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ht="15.75" customHeight="1"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ht="15.75" customHeight="1"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ht="15.75" customHeight="1"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ht="15.75" customHeight="1"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</row>
    <row r="242" ht="15.75" customHeight="1"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</row>
    <row r="243" ht="15.75" customHeight="1"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</row>
    <row r="244" ht="15.75" customHeight="1"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</row>
    <row r="245" ht="15.75" customHeight="1"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</row>
    <row r="246" ht="15.75" customHeight="1"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</row>
    <row r="247" ht="15.75" customHeight="1"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</row>
    <row r="248" ht="15.75" customHeight="1"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</row>
    <row r="249" ht="15.75" customHeight="1"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 J24 J28">
    <cfRule type="cellIs" dxfId="0" priority="1" operator="greaterThan">
      <formula>L15</formula>
    </cfRule>
  </conditionalFormatting>
  <conditionalFormatting sqref="J15 J19 J24 J28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0.88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1.13"/>
    <col customWidth="1" min="11" max="11" width="8.0"/>
    <col customWidth="1" min="12" max="12" width="18.25"/>
  </cols>
  <sheetData>
    <row r="1">
      <c r="A1" s="40" t="s">
        <v>81</v>
      </c>
      <c r="B1" s="40" t="s">
        <v>139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615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J39</f>
        <v>0</v>
      </c>
      <c r="K7" s="42"/>
      <c r="L7" s="37">
        <v>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2"/>
      <c r="L8" s="37">
        <v>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4000.0</v>
      </c>
      <c r="B14" s="52" t="s">
        <v>176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616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16"/>
      <c r="K17" s="43"/>
      <c r="L17" s="16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80">
        <v>4002.0</v>
      </c>
      <c r="B18" s="52" t="s">
        <v>276</v>
      </c>
      <c r="C18" s="43"/>
      <c r="D18" s="43"/>
      <c r="E18" s="43"/>
      <c r="F18" s="43"/>
      <c r="G18" s="43"/>
      <c r="H18" s="43"/>
      <c r="I18" s="43"/>
      <c r="J18" s="16"/>
      <c r="K18" s="43"/>
      <c r="L18" s="16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617</v>
      </c>
      <c r="D19" s="43"/>
      <c r="E19" s="43"/>
      <c r="F19" s="43"/>
      <c r="G19" s="43"/>
      <c r="H19" s="90"/>
      <c r="I19" s="43"/>
      <c r="J19" s="90">
        <v>0.0</v>
      </c>
      <c r="K19" s="43"/>
      <c r="L19" s="90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618</v>
      </c>
      <c r="D20" s="43"/>
      <c r="E20" s="43"/>
      <c r="F20" s="43"/>
      <c r="G20" s="43"/>
      <c r="H20" s="43"/>
      <c r="I20" s="43"/>
      <c r="J20" s="16">
        <v>0.0</v>
      </c>
      <c r="K20" s="43"/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43" t="s">
        <v>619</v>
      </c>
      <c r="C21" s="43"/>
      <c r="D21" s="43"/>
      <c r="E21" s="43"/>
      <c r="F21" s="43"/>
      <c r="G21" s="43"/>
      <c r="H21" s="16"/>
      <c r="I21" s="43"/>
      <c r="J21" s="16">
        <v>0.0</v>
      </c>
      <c r="K21" s="43"/>
      <c r="L21" s="16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43" t="s">
        <v>146</v>
      </c>
      <c r="C22" s="43"/>
      <c r="D22" s="43"/>
      <c r="E22" s="43"/>
      <c r="F22" s="43"/>
      <c r="G22" s="43"/>
      <c r="H22" s="43"/>
      <c r="I22" s="43"/>
      <c r="J22" s="16">
        <v>0.0</v>
      </c>
      <c r="K22" s="43"/>
      <c r="L22" s="16">
        <v>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3"/>
      <c r="B23" s="81" t="s">
        <v>147</v>
      </c>
      <c r="C23" s="31"/>
      <c r="D23" s="31"/>
      <c r="E23" s="31"/>
      <c r="F23" s="31"/>
      <c r="G23" s="31"/>
      <c r="H23" s="31"/>
      <c r="I23" s="31"/>
      <c r="J23" s="82">
        <f>SUM(J19:J22)</f>
        <v>0</v>
      </c>
      <c r="K23" s="31"/>
      <c r="L23" s="82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52"/>
      <c r="C24" s="43"/>
      <c r="D24" s="43"/>
      <c r="E24" s="43"/>
      <c r="F24" s="43"/>
      <c r="G24" s="43"/>
      <c r="H24" s="43"/>
      <c r="I24" s="43"/>
      <c r="J24" s="73"/>
      <c r="K24" s="43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80">
        <v>6530.0</v>
      </c>
      <c r="B25" s="52" t="s">
        <v>344</v>
      </c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345</v>
      </c>
      <c r="C26" s="43"/>
      <c r="D26" s="43"/>
      <c r="F26" s="43">
        <v>0.0</v>
      </c>
      <c r="G26" s="43" t="s">
        <v>155</v>
      </c>
      <c r="H26" s="16">
        <v>99.0</v>
      </c>
      <c r="I26" s="84" t="s">
        <v>119</v>
      </c>
      <c r="J26" s="16">
        <f t="shared" ref="J26:J27" si="1">F26*H26</f>
        <v>0</v>
      </c>
      <c r="K26" s="43"/>
      <c r="L26" s="16">
        <v>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106</v>
      </c>
      <c r="C27" s="43"/>
      <c r="D27" s="43"/>
      <c r="F27" s="43">
        <v>0.0</v>
      </c>
      <c r="G27" s="43" t="s">
        <v>155</v>
      </c>
      <c r="H27" s="16">
        <v>129.0</v>
      </c>
      <c r="I27" s="84" t="s">
        <v>119</v>
      </c>
      <c r="J27" s="16">
        <f t="shared" si="1"/>
        <v>0</v>
      </c>
      <c r="K27" s="43"/>
      <c r="L27" s="16">
        <v>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81" t="s">
        <v>147</v>
      </c>
      <c r="C28" s="31"/>
      <c r="D28" s="31"/>
      <c r="E28" s="31"/>
      <c r="F28" s="31"/>
      <c r="G28" s="31"/>
      <c r="H28" s="31"/>
      <c r="I28" s="31"/>
      <c r="J28" s="82">
        <f>SUM(J26:J27)</f>
        <v>0</v>
      </c>
      <c r="K28" s="31"/>
      <c r="L28" s="82">
        <v>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52"/>
      <c r="C29" s="43"/>
      <c r="D29" s="43"/>
      <c r="E29" s="43"/>
      <c r="F29" s="43"/>
      <c r="G29" s="43"/>
      <c r="H29" s="43"/>
      <c r="I29" s="43"/>
      <c r="J29" s="73"/>
      <c r="K29" s="4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80">
        <v>7600.0</v>
      </c>
      <c r="B30" s="52" t="s">
        <v>157</v>
      </c>
      <c r="C30" s="43"/>
      <c r="D30" s="43"/>
      <c r="E30" s="43"/>
      <c r="F30" s="43"/>
      <c r="G30" s="43"/>
      <c r="H30" s="43"/>
      <c r="I30" s="43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43" t="s">
        <v>620</v>
      </c>
      <c r="C31" s="43"/>
      <c r="D31" s="43"/>
      <c r="E31" s="43"/>
      <c r="F31" s="43"/>
      <c r="G31" s="43"/>
      <c r="H31" s="16"/>
      <c r="I31" s="43"/>
      <c r="J31" s="16">
        <v>0.0</v>
      </c>
      <c r="K31" s="16"/>
      <c r="L31" s="16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621</v>
      </c>
      <c r="C32" s="43"/>
      <c r="D32" s="43"/>
      <c r="E32" s="43"/>
      <c r="F32" s="43"/>
      <c r="H32" s="16"/>
      <c r="I32" s="43"/>
      <c r="J32" s="16">
        <v>0.0</v>
      </c>
      <c r="K32" s="16"/>
      <c r="L32" s="16">
        <v>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81" t="s">
        <v>147</v>
      </c>
      <c r="C33" s="31"/>
      <c r="D33" s="31"/>
      <c r="E33" s="31"/>
      <c r="F33" s="31"/>
      <c r="G33" s="31"/>
      <c r="H33" s="31"/>
      <c r="I33" s="31"/>
      <c r="J33" s="82">
        <f>SUM(J31:J32)</f>
        <v>0</v>
      </c>
      <c r="K33" s="31"/>
      <c r="L33" s="82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16"/>
      <c r="K34" s="43"/>
      <c r="L34" s="16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80">
        <v>7602.0</v>
      </c>
      <c r="B35" s="52" t="s">
        <v>194</v>
      </c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 t="s">
        <v>194</v>
      </c>
      <c r="C36" s="43"/>
      <c r="D36" s="43"/>
      <c r="E36" s="43"/>
      <c r="F36" s="43"/>
      <c r="G36" s="43"/>
      <c r="H36" s="16"/>
      <c r="I36" s="43"/>
      <c r="J36" s="16">
        <v>0.0</v>
      </c>
      <c r="K36" s="16"/>
      <c r="L36" s="16">
        <v>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3"/>
      <c r="B37" s="81" t="s">
        <v>147</v>
      </c>
      <c r="C37" s="31"/>
      <c r="D37" s="31"/>
      <c r="E37" s="31"/>
      <c r="F37" s="31"/>
      <c r="G37" s="31"/>
      <c r="H37" s="31"/>
      <c r="I37" s="31"/>
      <c r="J37" s="82">
        <f>SUM(J36)</f>
        <v>0</v>
      </c>
      <c r="K37" s="31"/>
      <c r="L37" s="82">
        <v>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3"/>
      <c r="B38" s="52"/>
      <c r="C38" s="43"/>
      <c r="D38" s="43"/>
      <c r="E38" s="43"/>
      <c r="F38" s="43"/>
      <c r="G38" s="43"/>
      <c r="H38" s="43"/>
      <c r="I38" s="43"/>
      <c r="J38" s="73"/>
      <c r="K38" s="43"/>
      <c r="L38" s="7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7"/>
      <c r="B39" s="47" t="s">
        <v>4</v>
      </c>
      <c r="C39" s="47"/>
      <c r="D39" s="47"/>
      <c r="E39" s="47"/>
      <c r="F39" s="47"/>
      <c r="G39" s="47"/>
      <c r="H39" s="47"/>
      <c r="I39" s="47"/>
      <c r="J39" s="57">
        <f>SUM(J13:J38)/2</f>
        <v>0</v>
      </c>
      <c r="K39" s="47"/>
      <c r="L39" s="57">
        <v>0.0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K40" s="43"/>
      <c r="L40" s="16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7"/>
      <c r="B41" s="47" t="s">
        <v>5</v>
      </c>
      <c r="C41" s="47"/>
      <c r="D41" s="47"/>
      <c r="E41" s="47"/>
      <c r="F41" s="47"/>
      <c r="G41" s="47"/>
      <c r="H41" s="47"/>
      <c r="I41" s="47"/>
      <c r="J41" s="57">
        <f>J12-J39</f>
        <v>0</v>
      </c>
      <c r="K41" s="47"/>
      <c r="L41" s="57">
        <v>0.0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C45" s="43"/>
      <c r="D45" s="43"/>
      <c r="E45" s="43"/>
      <c r="F45" s="43"/>
      <c r="H45" s="16"/>
      <c r="I45" s="43"/>
      <c r="K45" s="16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2:C2"/>
    <mergeCell ref="A6:B6"/>
    <mergeCell ref="A7:B7"/>
    <mergeCell ref="A8:B8"/>
  </mergeCells>
  <conditionalFormatting sqref="H21 J15 J19:J22 J26:J27 J31:J32 J36">
    <cfRule type="cellIs" dxfId="0" priority="1" operator="greaterThan">
      <formula>N9</formula>
    </cfRule>
  </conditionalFormatting>
  <conditionalFormatting sqref="H21 J15 J19:J22 J26:J27 J31:J32 J36">
    <cfRule type="cellIs" dxfId="1" priority="2" operator="lessThan">
      <formula>N9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3.88"/>
    <col customWidth="1" min="7" max="7" width="1.88"/>
    <col customWidth="1" min="8" max="8" width="10.13"/>
    <col customWidth="1" min="9" max="9" width="1.88"/>
    <col customWidth="1" min="10" max="10" width="11.13"/>
    <col customWidth="1" min="12" max="12" width="16.5"/>
  </cols>
  <sheetData>
    <row r="1">
      <c r="A1" s="40" t="s">
        <v>82</v>
      </c>
      <c r="B1" s="40" t="s">
        <v>207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622</v>
      </c>
      <c r="D2" s="42"/>
      <c r="E2" s="42"/>
      <c r="F2" s="42"/>
      <c r="G2" s="42"/>
      <c r="H2" s="42"/>
      <c r="I2" s="42"/>
      <c r="J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J26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J51</f>
        <v>0</v>
      </c>
      <c r="K7" s="42"/>
      <c r="L7" s="37">
        <v>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2"/>
      <c r="L8" s="143">
        <v>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63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3"/>
      <c r="B12" s="43" t="s">
        <v>623</v>
      </c>
      <c r="C12" s="43">
        <f>CEILING(C13/20,1)</f>
        <v>14</v>
      </c>
      <c r="D12" s="43" t="s">
        <v>624</v>
      </c>
      <c r="E12" s="43"/>
      <c r="F12" s="43"/>
      <c r="G12" s="43"/>
      <c r="H12" s="43"/>
      <c r="I12" s="43"/>
      <c r="J12" s="16"/>
      <c r="K12" s="43"/>
      <c r="L12" s="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A13" s="43"/>
      <c r="B13" s="43" t="s">
        <v>625</v>
      </c>
      <c r="C13" s="43">
        <v>270.0</v>
      </c>
      <c r="D13" s="43" t="s">
        <v>624</v>
      </c>
      <c r="E13" s="43"/>
      <c r="F13" s="43"/>
      <c r="G13" s="43"/>
      <c r="H13" s="43"/>
      <c r="I13" s="43"/>
      <c r="J13" s="16"/>
      <c r="K13" s="43"/>
      <c r="L13" s="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16"/>
      <c r="K14" s="43"/>
      <c r="L14" s="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96">
        <v>3000.0</v>
      </c>
      <c r="B15" s="10" t="s">
        <v>172</v>
      </c>
      <c r="C15" s="2"/>
      <c r="D15" s="2"/>
      <c r="E15" s="2"/>
      <c r="F15" s="2"/>
      <c r="G15" s="2"/>
      <c r="H15" s="2"/>
      <c r="I15" s="2"/>
      <c r="J15" s="9"/>
      <c r="K15" s="2"/>
      <c r="L15" s="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2"/>
      <c r="B16" s="2" t="s">
        <v>363</v>
      </c>
      <c r="C16" s="2"/>
      <c r="D16" s="2"/>
      <c r="E16" s="2"/>
      <c r="F16" s="2">
        <v>0.0</v>
      </c>
      <c r="G16" s="43" t="s">
        <v>155</v>
      </c>
      <c r="H16" s="9">
        <v>20000.0</v>
      </c>
      <c r="I16" s="105" t="s">
        <v>119</v>
      </c>
      <c r="J16" s="16">
        <v>0.0</v>
      </c>
      <c r="K16" s="2"/>
      <c r="L16" s="11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2"/>
      <c r="B17" s="2" t="s">
        <v>360</v>
      </c>
      <c r="C17" s="2"/>
      <c r="D17" s="2"/>
      <c r="F17" s="2">
        <v>3.0</v>
      </c>
      <c r="G17" s="43" t="s">
        <v>155</v>
      </c>
      <c r="H17" s="9">
        <v>12000.0</v>
      </c>
      <c r="I17" s="105" t="s">
        <v>119</v>
      </c>
      <c r="J17" s="16">
        <v>0.0</v>
      </c>
      <c r="K17" s="2"/>
      <c r="L17" s="11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2"/>
      <c r="B18" s="2" t="s">
        <v>374</v>
      </c>
      <c r="C18" s="2"/>
      <c r="D18" s="2">
        <v>3.0</v>
      </c>
      <c r="E18" s="43" t="s">
        <v>155</v>
      </c>
      <c r="F18" s="2">
        <v>100.0</v>
      </c>
      <c r="G18" s="43" t="s">
        <v>155</v>
      </c>
      <c r="H18" s="9">
        <v>80.0</v>
      </c>
      <c r="I18" s="105" t="s">
        <v>119</v>
      </c>
      <c r="J18" s="16">
        <v>0.0</v>
      </c>
      <c r="K18" s="2"/>
      <c r="L18" s="11">
        <v>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2"/>
      <c r="B19" s="97" t="s">
        <v>375</v>
      </c>
      <c r="C19" s="97"/>
      <c r="D19" s="97">
        <v>1.0</v>
      </c>
      <c r="E19" s="43" t="s">
        <v>155</v>
      </c>
      <c r="F19" s="97">
        <v>100.0</v>
      </c>
      <c r="G19" s="43" t="s">
        <v>155</v>
      </c>
      <c r="H19" s="148">
        <v>10.0</v>
      </c>
      <c r="I19" s="105" t="s">
        <v>119</v>
      </c>
      <c r="J19" s="16">
        <v>0.0</v>
      </c>
      <c r="K19" s="2"/>
      <c r="L19" s="98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2"/>
      <c r="B20" s="10" t="s">
        <v>147</v>
      </c>
      <c r="C20" s="2"/>
      <c r="D20" s="2"/>
      <c r="E20" s="29"/>
      <c r="F20" s="2"/>
      <c r="G20" s="29"/>
      <c r="H20" s="2"/>
      <c r="I20" s="29"/>
      <c r="J20" s="30">
        <f>SUM(J16:J19)</f>
        <v>0</v>
      </c>
      <c r="K20" s="29"/>
      <c r="L20" s="37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2"/>
      <c r="B21" s="10"/>
      <c r="C21" s="2"/>
      <c r="D21" s="2"/>
      <c r="E21" s="2"/>
      <c r="F21" s="2"/>
      <c r="G21" s="2"/>
      <c r="H21" s="2"/>
      <c r="I21" s="2"/>
      <c r="J21" s="37"/>
      <c r="K21" s="2"/>
      <c r="L21" s="37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80">
        <v>3015.0</v>
      </c>
      <c r="B22" s="52" t="s">
        <v>175</v>
      </c>
      <c r="C22" s="52"/>
      <c r="D22" s="52"/>
      <c r="E22" s="52"/>
      <c r="F22" s="52"/>
      <c r="G22" s="52"/>
      <c r="H22" s="52"/>
      <c r="I22" s="52"/>
      <c r="J22" s="73"/>
      <c r="K22" s="52"/>
      <c r="L22" s="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2"/>
      <c r="B23" s="2" t="s">
        <v>626</v>
      </c>
      <c r="C23" s="2"/>
      <c r="D23" s="2"/>
      <c r="F23" s="2"/>
      <c r="H23" s="9"/>
      <c r="I23" s="2"/>
      <c r="J23" s="16">
        <v>0.0</v>
      </c>
      <c r="K23" s="2"/>
      <c r="L23" s="11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81" t="s">
        <v>147</v>
      </c>
      <c r="C24" s="81"/>
      <c r="D24" s="81"/>
      <c r="E24" s="81"/>
      <c r="F24" s="81"/>
      <c r="G24" s="81"/>
      <c r="H24" s="81"/>
      <c r="I24" s="81"/>
      <c r="J24" s="82">
        <f>SUM(J23)</f>
        <v>0</v>
      </c>
      <c r="K24" s="81"/>
      <c r="L24" s="30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7"/>
      <c r="B26" s="47" t="s">
        <v>3</v>
      </c>
      <c r="C26" s="47"/>
      <c r="D26" s="47"/>
      <c r="E26" s="47"/>
      <c r="F26" s="47"/>
      <c r="G26" s="47"/>
      <c r="H26" s="47"/>
      <c r="I26" s="47"/>
      <c r="J26" s="57">
        <f>SUM(J11:J25)/2</f>
        <v>0</v>
      </c>
      <c r="K26" s="47"/>
      <c r="L26" s="144">
        <v>0.0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49"/>
      <c r="Z26" s="49"/>
    </row>
    <row r="27" ht="15.75" customHeight="1">
      <c r="A27" s="43"/>
      <c r="B27" s="52"/>
      <c r="C27" s="43"/>
      <c r="D27" s="43"/>
      <c r="E27" s="43"/>
      <c r="F27" s="43"/>
      <c r="G27" s="43"/>
      <c r="H27" s="43"/>
      <c r="I27" s="43"/>
      <c r="J27" s="73"/>
      <c r="K27" s="43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80">
        <v>4000.0</v>
      </c>
      <c r="B28" s="52" t="s">
        <v>176</v>
      </c>
      <c r="C28" s="52"/>
      <c r="D28" s="52"/>
      <c r="E28" s="52"/>
      <c r="F28" s="52"/>
      <c r="G28" s="52"/>
      <c r="H28" s="52"/>
      <c r="I28" s="52"/>
      <c r="J28" s="73"/>
      <c r="K28" s="52"/>
      <c r="L28" s="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2"/>
      <c r="B29" s="2" t="s">
        <v>374</v>
      </c>
      <c r="C29" s="2"/>
      <c r="D29" s="2"/>
      <c r="E29" s="43"/>
      <c r="F29" s="2"/>
      <c r="G29" s="43"/>
      <c r="H29" s="9"/>
      <c r="I29" s="2"/>
      <c r="J29" s="16">
        <v>0.0</v>
      </c>
      <c r="K29" s="2"/>
      <c r="L29" s="11">
        <v>0.0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2"/>
      <c r="B30" s="97" t="s">
        <v>375</v>
      </c>
      <c r="C30" s="97"/>
      <c r="D30" s="97">
        <v>1.0</v>
      </c>
      <c r="E30" s="43" t="s">
        <v>155</v>
      </c>
      <c r="F30" s="97">
        <v>100.0</v>
      </c>
      <c r="G30" s="43" t="s">
        <v>155</v>
      </c>
      <c r="H30" s="148">
        <v>10.0</v>
      </c>
      <c r="I30" s="105" t="s">
        <v>119</v>
      </c>
      <c r="J30" s="16">
        <v>0.0</v>
      </c>
      <c r="K30" s="2"/>
      <c r="L30" s="98">
        <v>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81" t="s">
        <v>147</v>
      </c>
      <c r="C31" s="81"/>
      <c r="D31" s="81"/>
      <c r="E31" s="81"/>
      <c r="F31" s="81"/>
      <c r="G31" s="81"/>
      <c r="H31" s="81"/>
      <c r="I31" s="81"/>
      <c r="J31" s="82">
        <f>SUM(J29:J30)</f>
        <v>0</v>
      </c>
      <c r="K31" s="81"/>
      <c r="L31" s="37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16"/>
      <c r="K32" s="43"/>
      <c r="L32" s="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80">
        <v>4002.0</v>
      </c>
      <c r="B33" s="52" t="s">
        <v>276</v>
      </c>
      <c r="C33" s="43"/>
      <c r="D33" s="43"/>
      <c r="E33" s="43"/>
      <c r="F33" s="43"/>
      <c r="G33" s="43"/>
      <c r="H33" s="43"/>
      <c r="I33" s="43"/>
      <c r="J33" s="16"/>
      <c r="K33" s="43"/>
      <c r="L33" s="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43" t="s">
        <v>627</v>
      </c>
      <c r="C34" s="43"/>
      <c r="D34" s="43"/>
      <c r="E34" s="43"/>
      <c r="F34" s="43"/>
      <c r="G34" s="43"/>
      <c r="H34" s="43"/>
      <c r="I34" s="43"/>
      <c r="J34" s="16">
        <v>0.0</v>
      </c>
      <c r="K34" s="43"/>
      <c r="L34" s="98">
        <v>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81" t="s">
        <v>147</v>
      </c>
      <c r="C35" s="31"/>
      <c r="D35" s="31"/>
      <c r="E35" s="31"/>
      <c r="F35" s="31"/>
      <c r="G35" s="31"/>
      <c r="H35" s="31"/>
      <c r="I35" s="31"/>
      <c r="J35" s="82">
        <f>SUM(J34)</f>
        <v>0</v>
      </c>
      <c r="K35" s="31"/>
      <c r="L35" s="37">
        <v>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16"/>
      <c r="K36" s="43"/>
      <c r="L36" s="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80">
        <v>4310.0</v>
      </c>
      <c r="B37" s="52" t="s">
        <v>177</v>
      </c>
      <c r="C37" s="43"/>
      <c r="D37" s="43"/>
      <c r="E37" s="43"/>
      <c r="F37" s="43"/>
      <c r="G37" s="43"/>
      <c r="H37" s="43"/>
      <c r="I37" s="43"/>
      <c r="J37" s="16"/>
      <c r="K37" s="43"/>
      <c r="L37" s="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3"/>
      <c r="B38" s="43" t="s">
        <v>383</v>
      </c>
      <c r="C38" s="43"/>
      <c r="D38" s="43"/>
      <c r="E38" s="43"/>
      <c r="F38" s="43">
        <v>1.0</v>
      </c>
      <c r="G38" s="43" t="s">
        <v>155</v>
      </c>
      <c r="H38" s="16">
        <v>1400.0</v>
      </c>
      <c r="I38" s="105" t="s">
        <v>119</v>
      </c>
      <c r="J38" s="16">
        <v>0.0</v>
      </c>
      <c r="K38" s="43"/>
      <c r="L38" s="11">
        <v>0.0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628</v>
      </c>
      <c r="C39" s="43"/>
      <c r="D39" s="43"/>
      <c r="E39" s="43"/>
      <c r="F39" s="43"/>
      <c r="G39" s="43"/>
      <c r="H39" s="43"/>
      <c r="I39" s="43"/>
      <c r="J39" s="16">
        <v>0.0</v>
      </c>
      <c r="K39" s="43"/>
      <c r="L39" s="11">
        <v>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16"/>
      <c r="K40" s="43"/>
      <c r="L40" s="11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103" t="s">
        <v>628</v>
      </c>
      <c r="C41" s="43"/>
      <c r="D41" s="43"/>
      <c r="E41" s="43"/>
      <c r="F41" s="43"/>
      <c r="G41" s="43"/>
      <c r="H41" s="43"/>
      <c r="I41" s="43"/>
      <c r="J41" s="16"/>
      <c r="K41" s="43"/>
      <c r="L41" s="11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 t="s">
        <v>101</v>
      </c>
      <c r="D42" s="43"/>
      <c r="E42" s="43"/>
      <c r="F42" s="43">
        <v>310.0</v>
      </c>
      <c r="G42" s="43" t="s">
        <v>155</v>
      </c>
      <c r="H42" s="90">
        <v>100.0</v>
      </c>
      <c r="I42" s="105" t="s">
        <v>119</v>
      </c>
      <c r="J42" s="90">
        <v>0.0</v>
      </c>
      <c r="K42" s="43"/>
      <c r="L42" s="149">
        <v>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 t="s">
        <v>629</v>
      </c>
      <c r="D43" s="43">
        <v>0.0</v>
      </c>
      <c r="E43" s="43" t="s">
        <v>155</v>
      </c>
      <c r="F43" s="43">
        <v>6.0</v>
      </c>
      <c r="G43" s="43" t="s">
        <v>155</v>
      </c>
      <c r="H43" s="90">
        <v>300.0</v>
      </c>
      <c r="I43" s="105" t="s">
        <v>119</v>
      </c>
      <c r="J43" s="90">
        <f t="shared" ref="J43:J44" si="1">D43*F43*H43</f>
        <v>0</v>
      </c>
      <c r="K43" s="43"/>
      <c r="L43" s="149">
        <v>0.0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 t="s">
        <v>630</v>
      </c>
      <c r="D44" s="43">
        <v>0.0</v>
      </c>
      <c r="E44" s="43" t="s">
        <v>155</v>
      </c>
      <c r="F44" s="43">
        <v>9.0</v>
      </c>
      <c r="G44" s="43" t="s">
        <v>155</v>
      </c>
      <c r="H44" s="90">
        <v>350.0</v>
      </c>
      <c r="I44" s="105" t="s">
        <v>119</v>
      </c>
      <c r="J44" s="90">
        <f t="shared" si="1"/>
        <v>0</v>
      </c>
      <c r="K44" s="43"/>
      <c r="L44" s="149">
        <v>0.0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 t="s">
        <v>529</v>
      </c>
      <c r="D45" s="43"/>
      <c r="E45" s="43"/>
      <c r="F45" s="43"/>
      <c r="G45" s="43"/>
      <c r="H45" s="90"/>
      <c r="I45" s="43"/>
      <c r="J45" s="90">
        <v>0.0</v>
      </c>
      <c r="K45" s="43"/>
      <c r="L45" s="149">
        <v>0.0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 t="s">
        <v>631</v>
      </c>
      <c r="D46" s="43"/>
      <c r="E46" s="43"/>
      <c r="F46" s="43"/>
      <c r="G46" s="43"/>
      <c r="H46" s="90"/>
      <c r="I46" s="43"/>
      <c r="J46" s="90">
        <v>0.0</v>
      </c>
      <c r="K46" s="43"/>
      <c r="L46" s="149">
        <v>0.0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 t="s">
        <v>632</v>
      </c>
      <c r="D47" s="43"/>
      <c r="E47" s="43"/>
      <c r="F47" s="43"/>
      <c r="G47" s="43"/>
      <c r="H47" s="90"/>
      <c r="I47" s="43"/>
      <c r="J47" s="90"/>
      <c r="K47" s="43"/>
      <c r="L47" s="1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 t="s">
        <v>633</v>
      </c>
      <c r="D48" s="43"/>
      <c r="E48" s="43"/>
      <c r="F48" s="43">
        <v>310.0</v>
      </c>
      <c r="G48" s="43" t="s">
        <v>155</v>
      </c>
      <c r="H48" s="90">
        <v>40.0</v>
      </c>
      <c r="I48" s="105" t="s">
        <v>119</v>
      </c>
      <c r="J48" s="90">
        <v>0.0</v>
      </c>
      <c r="K48" s="43"/>
      <c r="L48" s="149">
        <v>0.0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81" t="s">
        <v>147</v>
      </c>
      <c r="C49" s="31"/>
      <c r="D49" s="31"/>
      <c r="E49" s="31"/>
      <c r="F49" s="31"/>
      <c r="G49" s="31"/>
      <c r="H49" s="31"/>
      <c r="I49" s="31"/>
      <c r="J49" s="82">
        <f>SUM(J38:J48)</f>
        <v>0</v>
      </c>
      <c r="K49" s="31"/>
      <c r="L49" s="82">
        <v>0.0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16"/>
      <c r="K50" s="43"/>
      <c r="L50" s="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7"/>
      <c r="B51" s="47" t="s">
        <v>4</v>
      </c>
      <c r="C51" s="47"/>
      <c r="D51" s="47"/>
      <c r="E51" s="47"/>
      <c r="F51" s="47"/>
      <c r="G51" s="47"/>
      <c r="H51" s="47"/>
      <c r="I51" s="47"/>
      <c r="J51" s="57">
        <f>SUM(J27:J50)/2</f>
        <v>0</v>
      </c>
      <c r="K51" s="47"/>
      <c r="L51" s="144">
        <v>0.0</v>
      </c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16"/>
      <c r="K52" s="43"/>
      <c r="L52" s="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7"/>
      <c r="B53" s="47" t="s">
        <v>5</v>
      </c>
      <c r="C53" s="47"/>
      <c r="D53" s="47"/>
      <c r="E53" s="47"/>
      <c r="F53" s="47"/>
      <c r="G53" s="47"/>
      <c r="H53" s="47"/>
      <c r="I53" s="47"/>
      <c r="J53" s="57">
        <f>J26-J51</f>
        <v>0</v>
      </c>
      <c r="K53" s="47"/>
      <c r="L53" s="144">
        <v>0.0</v>
      </c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E57" s="43"/>
      <c r="F57" s="43"/>
      <c r="G57" s="43"/>
      <c r="H57" s="43"/>
      <c r="I57" s="43"/>
      <c r="J57" s="43"/>
      <c r="K57" s="43"/>
      <c r="L57" s="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2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2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2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2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2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2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2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2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2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2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2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2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6:J19 J23 J29:J30 J34 J38:J41">
    <cfRule type="cellIs" dxfId="0" priority="1" operator="greaterThan">
      <formula>L16</formula>
    </cfRule>
  </conditionalFormatting>
  <conditionalFormatting sqref="J16:J19 J23 J29:J30 J34 J38:J41">
    <cfRule type="cellIs" dxfId="1" priority="2" operator="lessThan">
      <formula>L16</formula>
    </cfRule>
  </conditionalFormatting>
  <conditionalFormatting sqref="J8">
    <cfRule type="cellIs" dxfId="0" priority="3" operator="greaterThan">
      <formula>0</formula>
    </cfRule>
  </conditionalFormatting>
  <conditionalFormatting sqref="J8">
    <cfRule type="cellIs" dxfId="2" priority="4" operator="equal">
      <formula>0</formula>
    </cfRule>
  </conditionalFormatting>
  <conditionalFormatting sqref="J8">
    <cfRule type="cellIs" dxfId="0" priority="5" operator="greaterThanOrEqual">
      <formula>0</formula>
    </cfRule>
  </conditionalFormatting>
  <conditionalFormatting sqref="J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3.88"/>
    <col customWidth="1" min="7" max="7" width="1.88"/>
    <col customWidth="1" min="8" max="8" width="8.0"/>
    <col customWidth="1" min="9" max="9" width="1.88"/>
    <col customWidth="1" min="10" max="10" width="11.13"/>
    <col customWidth="1" min="11" max="11" width="8.0"/>
    <col customWidth="1" min="12" max="12" width="16.88"/>
  </cols>
  <sheetData>
    <row r="1">
      <c r="A1" s="40" t="s">
        <v>83</v>
      </c>
      <c r="B1" s="40" t="s">
        <v>372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634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J27</f>
        <v>0</v>
      </c>
      <c r="K7" s="42"/>
      <c r="L7" s="37">
        <v>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2"/>
      <c r="L8" s="37">
        <v>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4330.0</v>
      </c>
      <c r="B14" s="52" t="s">
        <v>422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43"/>
      <c r="B15" s="43" t="s">
        <v>635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82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7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80">
        <v>5900.0</v>
      </c>
      <c r="B18" s="52" t="s">
        <v>424</v>
      </c>
      <c r="C18" s="52"/>
      <c r="D18" s="52"/>
      <c r="E18" s="52"/>
      <c r="F18" s="52"/>
      <c r="G18" s="52"/>
      <c r="H18" s="52"/>
      <c r="I18" s="52"/>
      <c r="J18" s="73"/>
      <c r="K18" s="52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2"/>
      <c r="B19" s="2" t="s">
        <v>636</v>
      </c>
      <c r="C19" s="2"/>
      <c r="D19" s="2"/>
      <c r="F19" s="2"/>
      <c r="H19" s="9"/>
      <c r="I19" s="2"/>
      <c r="J19" s="16">
        <v>0.0</v>
      </c>
      <c r="K19" s="9"/>
      <c r="L19" s="11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2"/>
      <c r="B20" s="2" t="s">
        <v>637</v>
      </c>
      <c r="C20" s="2"/>
      <c r="D20" s="2"/>
      <c r="E20" s="43"/>
      <c r="F20" s="2"/>
      <c r="G20" s="43"/>
      <c r="H20" s="9"/>
      <c r="I20" s="2"/>
      <c r="J20" s="16">
        <v>0.0</v>
      </c>
      <c r="K20" s="9"/>
      <c r="L20" s="11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2"/>
      <c r="B21" s="2" t="s">
        <v>638</v>
      </c>
      <c r="C21" s="2"/>
      <c r="D21" s="2"/>
      <c r="F21" s="2"/>
      <c r="H21" s="9"/>
      <c r="I21" s="2"/>
      <c r="J21" s="16">
        <v>0.0</v>
      </c>
      <c r="K21" s="9"/>
      <c r="L21" s="11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43" t="s">
        <v>639</v>
      </c>
      <c r="C22" s="43"/>
      <c r="D22" s="43"/>
      <c r="E22" s="43"/>
      <c r="F22" s="43"/>
      <c r="G22" s="43"/>
      <c r="H22" s="43"/>
      <c r="I22" s="43"/>
      <c r="J22" s="16">
        <v>0.0</v>
      </c>
      <c r="K22" s="43"/>
      <c r="L22" s="11">
        <v>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43" t="s">
        <v>640</v>
      </c>
      <c r="C23" s="43"/>
      <c r="D23" s="43"/>
      <c r="E23" s="43"/>
      <c r="F23" s="43"/>
      <c r="G23" s="43"/>
      <c r="H23" s="43"/>
      <c r="I23" s="43"/>
      <c r="J23" s="16">
        <v>0.0</v>
      </c>
      <c r="K23" s="43"/>
      <c r="L23" s="11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3"/>
      <c r="B24" s="43" t="s">
        <v>185</v>
      </c>
      <c r="C24" s="43"/>
      <c r="D24" s="43"/>
      <c r="E24" s="43"/>
      <c r="F24" s="43"/>
      <c r="G24" s="43"/>
      <c r="H24" s="43"/>
      <c r="I24" s="43"/>
      <c r="J24" s="16">
        <v>0.0</v>
      </c>
      <c r="K24" s="43"/>
      <c r="L24" s="98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81" t="s">
        <v>147</v>
      </c>
      <c r="C25" s="31"/>
      <c r="D25" s="31"/>
      <c r="E25" s="31"/>
      <c r="F25" s="31"/>
      <c r="G25" s="31"/>
      <c r="H25" s="31"/>
      <c r="I25" s="31"/>
      <c r="J25" s="82">
        <f>SUM(J19:J24)</f>
        <v>0</v>
      </c>
      <c r="K25" s="31"/>
      <c r="L25" s="82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16"/>
      <c r="K26" s="43"/>
      <c r="L26" s="16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7"/>
      <c r="B27" s="47" t="s">
        <v>4</v>
      </c>
      <c r="C27" s="47"/>
      <c r="D27" s="47"/>
      <c r="E27" s="47"/>
      <c r="F27" s="47"/>
      <c r="G27" s="47"/>
      <c r="H27" s="47"/>
      <c r="I27" s="47"/>
      <c r="J27" s="57">
        <f>SUM(J13:J26)/2</f>
        <v>0</v>
      </c>
      <c r="K27" s="47"/>
      <c r="L27" s="57">
        <v>0.0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16"/>
      <c r="K28" s="43"/>
      <c r="L28" s="16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7"/>
      <c r="B29" s="47" t="s">
        <v>5</v>
      </c>
      <c r="C29" s="47"/>
      <c r="D29" s="47"/>
      <c r="E29" s="47"/>
      <c r="F29" s="47"/>
      <c r="G29" s="47"/>
      <c r="H29" s="47"/>
      <c r="I29" s="47"/>
      <c r="J29" s="57">
        <f>J12-J27</f>
        <v>0</v>
      </c>
      <c r="K29" s="47"/>
      <c r="L29" s="57">
        <v>0.0</v>
      </c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49"/>
      <c r="Z29" s="49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">
    <mergeCell ref="A2:C2"/>
    <mergeCell ref="A6:B6"/>
    <mergeCell ref="A7:B7"/>
    <mergeCell ref="A8:B8"/>
  </mergeCells>
  <conditionalFormatting sqref="J15 J19:J24">
    <cfRule type="cellIs" dxfId="0" priority="1" operator="greaterThan">
      <formula>L15</formula>
    </cfRule>
  </conditionalFormatting>
  <conditionalFormatting sqref="J15 J19:J24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3.88"/>
    <col customWidth="1" min="7" max="7" width="1.88"/>
    <col customWidth="1" min="8" max="8" width="9.25"/>
    <col customWidth="1" min="9" max="9" width="1.88"/>
    <col customWidth="1" min="10" max="10" width="11.13"/>
    <col customWidth="1" min="12" max="12" width="16.88"/>
  </cols>
  <sheetData>
    <row r="1">
      <c r="A1" s="40" t="s">
        <v>84</v>
      </c>
      <c r="B1" s="40" t="s">
        <v>641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642</v>
      </c>
      <c r="D2" s="42"/>
      <c r="E2" s="42"/>
      <c r="F2" s="42"/>
      <c r="G2" s="42"/>
      <c r="H2" s="42"/>
      <c r="I2" s="42"/>
      <c r="J2" s="42"/>
      <c r="K2" s="43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3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79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3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3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J36</f>
        <v>0</v>
      </c>
      <c r="K7" s="43"/>
      <c r="L7" s="37">
        <v>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0</v>
      </c>
      <c r="K8" s="43"/>
      <c r="L8" s="37">
        <v>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7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4310.0</v>
      </c>
      <c r="B14" s="52" t="s">
        <v>177</v>
      </c>
      <c r="C14" s="52"/>
      <c r="D14" s="52"/>
      <c r="E14" s="52"/>
      <c r="F14" s="52"/>
      <c r="G14" s="52"/>
      <c r="H14" s="52"/>
      <c r="I14" s="52"/>
      <c r="J14" s="73"/>
      <c r="K14" s="43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2"/>
      <c r="B15" s="104" t="s">
        <v>643</v>
      </c>
      <c r="C15" s="2"/>
      <c r="D15" s="2"/>
      <c r="F15" s="2"/>
      <c r="G15" s="43"/>
      <c r="H15" s="9"/>
      <c r="I15" s="2"/>
      <c r="J15" s="11"/>
      <c r="K15" s="43"/>
      <c r="L15" s="11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2"/>
      <c r="B16" s="2" t="s">
        <v>644</v>
      </c>
      <c r="C16" s="2"/>
      <c r="D16" s="2"/>
      <c r="F16" s="2"/>
      <c r="G16" s="43"/>
      <c r="H16" s="9"/>
      <c r="I16" s="2"/>
      <c r="J16" s="16">
        <v>0.0</v>
      </c>
      <c r="K16" s="43"/>
      <c r="L16" s="11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2"/>
      <c r="B17" s="2"/>
      <c r="C17" s="2"/>
      <c r="D17" s="2"/>
      <c r="F17" s="2"/>
      <c r="G17" s="43"/>
      <c r="H17" s="9"/>
      <c r="I17" s="2"/>
      <c r="J17" s="11"/>
      <c r="K17" s="43"/>
      <c r="L17" s="11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2"/>
      <c r="B18" s="104" t="s">
        <v>645</v>
      </c>
      <c r="C18" s="2"/>
      <c r="D18" s="2"/>
      <c r="F18" s="2"/>
      <c r="G18" s="43"/>
      <c r="H18" s="9"/>
      <c r="I18" s="2"/>
      <c r="J18" s="11"/>
      <c r="K18" s="43"/>
      <c r="L18" s="11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2"/>
      <c r="B19" s="2" t="s">
        <v>646</v>
      </c>
      <c r="C19" s="2"/>
      <c r="D19" s="2"/>
      <c r="E19" s="43"/>
      <c r="F19" s="2"/>
      <c r="G19" s="43"/>
      <c r="H19" s="9"/>
      <c r="I19" s="2"/>
      <c r="J19" s="16">
        <v>0.0</v>
      </c>
      <c r="K19" s="43"/>
      <c r="L19" s="16">
        <v>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2"/>
      <c r="B20" s="2" t="s">
        <v>647</v>
      </c>
      <c r="C20" s="2"/>
      <c r="D20" s="2"/>
      <c r="F20" s="2"/>
      <c r="H20" s="9"/>
      <c r="I20" s="2"/>
      <c r="J20" s="16">
        <v>0.0</v>
      </c>
      <c r="K20" s="43"/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2"/>
      <c r="B21" s="2"/>
      <c r="C21" s="2"/>
      <c r="D21" s="2"/>
      <c r="E21" s="43"/>
      <c r="F21" s="2"/>
      <c r="G21" s="43"/>
      <c r="H21" s="9"/>
      <c r="I21" s="2"/>
      <c r="J21" s="16"/>
      <c r="K21" s="43"/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2"/>
      <c r="B22" s="104" t="s">
        <v>648</v>
      </c>
      <c r="C22" s="2"/>
      <c r="D22" s="2"/>
      <c r="E22" s="43"/>
      <c r="F22" s="2"/>
      <c r="G22" s="43"/>
      <c r="H22" s="9"/>
      <c r="I22" s="2"/>
      <c r="J22" s="16"/>
      <c r="K22" s="43"/>
      <c r="L22" s="16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2"/>
      <c r="B23" s="2" t="s">
        <v>648</v>
      </c>
      <c r="C23" s="2"/>
      <c r="D23" s="2"/>
      <c r="F23" s="2"/>
      <c r="H23" s="9"/>
      <c r="I23" s="2"/>
      <c r="J23" s="16">
        <v>0.0</v>
      </c>
      <c r="K23" s="43"/>
      <c r="L23" s="16">
        <v>0.0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2"/>
      <c r="B24" s="2" t="s">
        <v>649</v>
      </c>
      <c r="C24" s="2"/>
      <c r="D24" s="2"/>
      <c r="F24" s="2"/>
      <c r="H24" s="9"/>
      <c r="I24" s="2"/>
      <c r="J24" s="16">
        <v>0.0</v>
      </c>
      <c r="K24" s="43"/>
      <c r="L24" s="16">
        <v>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16"/>
      <c r="K25" s="43"/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3"/>
      <c r="B26" s="104" t="s">
        <v>650</v>
      </c>
      <c r="C26" s="43"/>
      <c r="D26" s="43"/>
      <c r="E26" s="43"/>
      <c r="F26" s="43"/>
      <c r="G26" s="43"/>
      <c r="H26" s="43"/>
      <c r="I26" s="43"/>
      <c r="J26" s="16"/>
      <c r="K26" s="43"/>
      <c r="L26" s="16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43" t="s">
        <v>651</v>
      </c>
      <c r="C27" s="43"/>
      <c r="D27" s="43"/>
      <c r="E27" s="43"/>
      <c r="F27" s="43"/>
      <c r="G27" s="43"/>
      <c r="H27" s="43"/>
      <c r="I27" s="43"/>
      <c r="J27" s="16">
        <v>0.0</v>
      </c>
      <c r="K27" s="43"/>
      <c r="L27" s="16">
        <v>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 t="s">
        <v>652</v>
      </c>
      <c r="C28" s="43"/>
      <c r="D28" s="43"/>
      <c r="E28" s="43"/>
      <c r="F28" s="43"/>
      <c r="G28" s="43"/>
      <c r="H28" s="43"/>
      <c r="I28" s="43"/>
      <c r="J28" s="16">
        <v>0.0</v>
      </c>
      <c r="K28" s="43"/>
      <c r="L28" s="16">
        <v>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2"/>
      <c r="B29" s="2"/>
      <c r="C29" s="2"/>
      <c r="D29" s="2"/>
      <c r="E29" s="43"/>
      <c r="F29" s="2"/>
      <c r="G29" s="43"/>
      <c r="H29" s="9"/>
      <c r="I29" s="2"/>
      <c r="J29" s="16"/>
      <c r="K29" s="43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2"/>
      <c r="B30" s="104" t="s">
        <v>215</v>
      </c>
      <c r="C30" s="2"/>
      <c r="D30" s="2"/>
      <c r="E30" s="43"/>
      <c r="F30" s="2"/>
      <c r="G30" s="43"/>
      <c r="H30" s="9"/>
      <c r="I30" s="2"/>
      <c r="J30" s="16"/>
      <c r="K30" s="43"/>
      <c r="L30" s="16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2"/>
      <c r="B31" s="2" t="s">
        <v>653</v>
      </c>
      <c r="C31" s="2"/>
      <c r="D31" s="2"/>
      <c r="E31" s="43"/>
      <c r="F31" s="2"/>
      <c r="G31" s="43"/>
      <c r="H31" s="9"/>
      <c r="I31" s="2"/>
      <c r="J31" s="16">
        <v>0.0</v>
      </c>
      <c r="K31" s="43"/>
      <c r="L31" s="16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2"/>
      <c r="B32" s="2" t="s">
        <v>654</v>
      </c>
      <c r="C32" s="2"/>
      <c r="D32" s="2"/>
      <c r="E32" s="43"/>
      <c r="F32" s="2"/>
      <c r="G32" s="43"/>
      <c r="H32" s="9"/>
      <c r="I32" s="2"/>
      <c r="J32" s="16">
        <v>0.0</v>
      </c>
      <c r="K32" s="43"/>
      <c r="L32" s="16">
        <v>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 t="s">
        <v>655</v>
      </c>
      <c r="C33" s="43"/>
      <c r="D33" s="43">
        <v>4.0</v>
      </c>
      <c r="E33" s="43" t="s">
        <v>155</v>
      </c>
      <c r="F33" s="43">
        <v>30.0</v>
      </c>
      <c r="G33" s="43" t="s">
        <v>155</v>
      </c>
      <c r="H33" s="90">
        <v>30.0</v>
      </c>
      <c r="I33" s="43"/>
      <c r="J33" s="16">
        <v>0.0</v>
      </c>
      <c r="K33" s="43"/>
      <c r="L33" s="16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3"/>
      <c r="B34" s="81" t="s">
        <v>147</v>
      </c>
      <c r="C34" s="31"/>
      <c r="D34" s="31"/>
      <c r="E34" s="31"/>
      <c r="F34" s="31"/>
      <c r="G34" s="31"/>
      <c r="H34" s="31"/>
      <c r="I34" s="31"/>
      <c r="J34" s="82">
        <f>SUM(J15:J33)</f>
        <v>0</v>
      </c>
      <c r="K34" s="31"/>
      <c r="L34" s="82">
        <v>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16"/>
      <c r="K35" s="43"/>
      <c r="L35" s="16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7"/>
      <c r="B36" s="47" t="s">
        <v>4</v>
      </c>
      <c r="C36" s="47"/>
      <c r="D36" s="47"/>
      <c r="E36" s="47"/>
      <c r="F36" s="47"/>
      <c r="G36" s="47"/>
      <c r="H36" s="47"/>
      <c r="I36" s="47"/>
      <c r="J36" s="57">
        <f>SUM(J13:J35)/2</f>
        <v>0</v>
      </c>
      <c r="K36" s="47"/>
      <c r="L36" s="57">
        <v>0.0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16"/>
      <c r="K37" s="43"/>
      <c r="L37" s="16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7"/>
      <c r="B38" s="47" t="s">
        <v>5</v>
      </c>
      <c r="C38" s="47"/>
      <c r="D38" s="47"/>
      <c r="E38" s="47"/>
      <c r="F38" s="47"/>
      <c r="G38" s="47"/>
      <c r="H38" s="47"/>
      <c r="I38" s="47"/>
      <c r="J38" s="57">
        <f>J12-J36</f>
        <v>0</v>
      </c>
      <c r="K38" s="47"/>
      <c r="L38" s="57">
        <v>0.0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49"/>
      <c r="Z38" s="49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6 J19:J33">
    <cfRule type="cellIs" dxfId="0" priority="1" operator="greaterThan">
      <formula>L16</formula>
    </cfRule>
  </conditionalFormatting>
  <conditionalFormatting sqref="J16 J19:J33">
    <cfRule type="cellIs" dxfId="1" priority="2" operator="lessThan">
      <formula>L16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3.75"/>
    <col customWidth="1" min="7" max="7" width="1.88"/>
    <col customWidth="1" min="8" max="8" width="10.13"/>
    <col customWidth="1" min="9" max="9" width="1.88"/>
    <col customWidth="1" min="10" max="10" width="12.5"/>
    <col customWidth="1" min="11" max="11" width="23.13"/>
    <col customWidth="1" min="12" max="12" width="16.88"/>
  </cols>
  <sheetData>
    <row r="1" ht="15.75" customHeight="1">
      <c r="A1" s="40" t="s">
        <v>85</v>
      </c>
      <c r="B1" s="40" t="s">
        <v>656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657</v>
      </c>
      <c r="D2" s="2"/>
      <c r="E2" s="2"/>
      <c r="F2" s="2"/>
      <c r="G2" s="2"/>
      <c r="H2" s="2"/>
      <c r="I2" s="2"/>
      <c r="J2" s="2"/>
      <c r="L2" s="2"/>
    </row>
    <row r="3" ht="15.75" customHeight="1">
      <c r="A3" s="10"/>
      <c r="B3" s="10"/>
      <c r="C3" s="2"/>
      <c r="D3" s="2"/>
      <c r="E3" s="2"/>
      <c r="F3" s="2"/>
      <c r="G3" s="2"/>
      <c r="H3" s="2"/>
      <c r="I3" s="2"/>
      <c r="J3" s="37"/>
      <c r="K3" s="2"/>
      <c r="L3" s="37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78"/>
      <c r="B4" s="78"/>
      <c r="C4" s="63"/>
      <c r="D4" s="63"/>
      <c r="E4" s="63"/>
      <c r="F4" s="63"/>
      <c r="G4" s="63"/>
      <c r="H4" s="63"/>
      <c r="I4" s="63"/>
      <c r="J4" s="46" t="s">
        <v>1</v>
      </c>
      <c r="K4" s="63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2"/>
      <c r="D5" s="2"/>
      <c r="E5" s="2"/>
      <c r="F5" s="2"/>
      <c r="G5" s="2"/>
      <c r="H5" s="2"/>
      <c r="I5" s="2"/>
      <c r="J5" s="37"/>
      <c r="K5" s="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2"/>
      <c r="D6" s="2"/>
      <c r="E6" s="2"/>
      <c r="F6" s="2"/>
      <c r="G6" s="2"/>
      <c r="H6" s="2"/>
      <c r="I6" s="2"/>
      <c r="J6" s="37">
        <f>J30</f>
        <v>256557.6433</v>
      </c>
      <c r="K6" s="2"/>
      <c r="L6" s="37">
        <v>323453.1729181407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2"/>
      <c r="D7" s="2"/>
      <c r="E7" s="2"/>
      <c r="F7" s="2"/>
      <c r="G7" s="2"/>
      <c r="H7" s="2"/>
      <c r="I7" s="2"/>
      <c r="J7" s="37">
        <f>J44</f>
        <v>0</v>
      </c>
      <c r="K7" s="2"/>
      <c r="L7" s="37">
        <v>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2"/>
      <c r="D8" s="2"/>
      <c r="E8" s="2"/>
      <c r="F8" s="2"/>
      <c r="G8" s="2"/>
      <c r="H8" s="2"/>
      <c r="I8" s="2"/>
      <c r="J8" s="37">
        <f>J6-J7</f>
        <v>256557.6433</v>
      </c>
      <c r="K8" s="2"/>
      <c r="L8" s="37">
        <v>323453.1729181407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J11" s="16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B12" s="43"/>
      <c r="D12" s="43"/>
      <c r="J12" s="16"/>
      <c r="L12" s="16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5.75" customHeight="1">
      <c r="B13" s="43"/>
      <c r="D13" s="16"/>
      <c r="J13" s="16"/>
      <c r="L13" s="37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B14" s="43"/>
      <c r="D14" s="16"/>
      <c r="J14" s="16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J15" s="16"/>
      <c r="L15" s="16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80">
        <v>3000.0</v>
      </c>
      <c r="B16" s="52" t="s">
        <v>172</v>
      </c>
      <c r="C16" s="52"/>
      <c r="D16" s="52"/>
      <c r="E16" s="52"/>
      <c r="F16" s="52"/>
      <c r="G16" s="52"/>
      <c r="H16" s="52"/>
      <c r="I16" s="52"/>
      <c r="J16" s="16"/>
      <c r="K16" s="52"/>
      <c r="L16" s="7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B17" s="43" t="s">
        <v>658</v>
      </c>
      <c r="C17" s="150">
        <v>435000.0</v>
      </c>
      <c r="F17" s="43"/>
      <c r="G17" s="2"/>
      <c r="H17" s="16"/>
      <c r="I17" s="43"/>
      <c r="J17" s="43">
        <f>(C17*0.6)/2+(C17*0.2)*(0.88333333333)+(C17*0.2)*0.56560509554</f>
        <v>256557.6433</v>
      </c>
      <c r="K17" s="2" t="s">
        <v>659</v>
      </c>
      <c r="L17" s="43">
        <v>323453.1729181407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B18" s="43"/>
      <c r="F18" s="43"/>
      <c r="G18" s="2"/>
      <c r="H18" s="16"/>
      <c r="I18" s="43"/>
      <c r="J18" s="43"/>
      <c r="K18" s="2" t="s">
        <v>660</v>
      </c>
      <c r="L18" s="151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B19" s="43"/>
      <c r="F19" s="43"/>
      <c r="H19" s="16"/>
      <c r="I19" s="43"/>
      <c r="J19" s="16"/>
      <c r="K19" s="2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B20" s="43"/>
      <c r="F20" s="43"/>
      <c r="G20" s="2"/>
      <c r="H20" s="16"/>
      <c r="I20" s="43"/>
      <c r="J20" s="16"/>
      <c r="K20" s="2" t="s">
        <v>661</v>
      </c>
      <c r="L20" s="16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B21" s="43"/>
      <c r="F21" s="43"/>
      <c r="G21" s="2"/>
      <c r="H21" s="16"/>
      <c r="I21" s="43"/>
      <c r="J21" s="16"/>
      <c r="K21" s="2" t="s">
        <v>662</v>
      </c>
      <c r="L21" s="16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B22" s="52"/>
      <c r="C22" s="52"/>
      <c r="D22" s="52"/>
      <c r="E22" s="52"/>
      <c r="F22" s="52"/>
      <c r="G22" s="52"/>
      <c r="H22" s="52"/>
      <c r="I22" s="52"/>
      <c r="J22" s="16"/>
      <c r="K22" s="2"/>
      <c r="L22" s="73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B23" s="43"/>
      <c r="F23" s="43"/>
      <c r="G23" s="2"/>
      <c r="H23" s="16"/>
      <c r="I23" s="43"/>
      <c r="J23" s="16"/>
      <c r="K23" s="2" t="s">
        <v>663</v>
      </c>
      <c r="L23" s="16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B24" s="43"/>
      <c r="F24" s="43"/>
      <c r="G24" s="2"/>
      <c r="H24" s="16"/>
      <c r="I24" s="43"/>
      <c r="J24" s="16"/>
      <c r="K24" s="2" t="s">
        <v>664</v>
      </c>
      <c r="L24" s="16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B25" s="43"/>
      <c r="F25" s="43"/>
      <c r="G25" s="2"/>
      <c r="H25" s="16"/>
      <c r="I25" s="43"/>
      <c r="J25" s="16"/>
      <c r="K25" s="2" t="s">
        <v>665</v>
      </c>
      <c r="L25" s="16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B26" s="52"/>
      <c r="C26" s="52"/>
      <c r="D26" s="52"/>
      <c r="E26" s="52"/>
      <c r="F26" s="52"/>
      <c r="G26" s="52"/>
      <c r="H26" s="52"/>
      <c r="I26" s="52"/>
      <c r="J26" s="16"/>
      <c r="K26" s="2"/>
      <c r="L26" s="16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B27" s="43"/>
      <c r="C27" s="52"/>
      <c r="E27" s="2"/>
      <c r="F27" s="43"/>
      <c r="G27" s="2"/>
      <c r="H27" s="152"/>
      <c r="I27" s="43"/>
      <c r="J27" s="16"/>
      <c r="K27" s="2" t="s">
        <v>666</v>
      </c>
      <c r="L27" s="16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B28" s="81" t="s">
        <v>147</v>
      </c>
      <c r="C28" s="81"/>
      <c r="D28" s="81"/>
      <c r="E28" s="81"/>
      <c r="F28" s="81"/>
      <c r="G28" s="81"/>
      <c r="H28" s="81"/>
      <c r="I28" s="81"/>
      <c r="J28" s="153">
        <f>J17</f>
        <v>256557.6433</v>
      </c>
      <c r="K28" s="81"/>
      <c r="L28" s="153">
        <v>323453.1729181407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J29" s="16"/>
      <c r="L29" s="1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7"/>
      <c r="B30" s="47" t="s">
        <v>3</v>
      </c>
      <c r="C30" s="47"/>
      <c r="D30" s="47"/>
      <c r="E30" s="47"/>
      <c r="F30" s="47"/>
      <c r="G30" s="47"/>
      <c r="H30" s="47"/>
      <c r="I30" s="47"/>
      <c r="J30" s="93">
        <f>SUM(J17:J29)/2</f>
        <v>256557.6433</v>
      </c>
      <c r="K30" s="47"/>
      <c r="L30" s="57">
        <v>323453.1729181407</v>
      </c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49"/>
      <c r="Z30" s="49"/>
    </row>
    <row r="31" ht="15.75" customHeight="1">
      <c r="J31" s="16"/>
      <c r="L31" s="1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80">
        <v>4730.0</v>
      </c>
      <c r="B32" s="52" t="s">
        <v>380</v>
      </c>
      <c r="J32" s="16"/>
      <c r="L32" s="16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B33" s="43" t="s">
        <v>667</v>
      </c>
      <c r="J33" s="16">
        <v>0.0</v>
      </c>
      <c r="L33" s="16">
        <v>0.0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B34" s="81" t="s">
        <v>147</v>
      </c>
      <c r="C34" s="31"/>
      <c r="D34" s="31"/>
      <c r="E34" s="31"/>
      <c r="F34" s="31"/>
      <c r="G34" s="31"/>
      <c r="H34" s="31"/>
      <c r="I34" s="31"/>
      <c r="J34" s="82">
        <f>SUM(J33)</f>
        <v>0</v>
      </c>
      <c r="K34" s="31"/>
      <c r="L34" s="82">
        <v>0.0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B35" s="52"/>
      <c r="J35" s="73"/>
      <c r="L35" s="73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80">
        <v>5220.0</v>
      </c>
      <c r="B36" s="52" t="s">
        <v>668</v>
      </c>
      <c r="C36" s="52"/>
      <c r="D36" s="52"/>
      <c r="E36" s="52"/>
      <c r="F36" s="52"/>
      <c r="G36" s="52"/>
      <c r="H36" s="52"/>
      <c r="I36" s="52"/>
      <c r="J36" s="73"/>
      <c r="K36" s="52"/>
      <c r="L36" s="73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B37" s="43" t="s">
        <v>666</v>
      </c>
      <c r="F37" s="43"/>
      <c r="G37" s="2"/>
      <c r="H37" s="152"/>
      <c r="I37" s="43"/>
      <c r="J37" s="16">
        <v>0.0</v>
      </c>
      <c r="L37" s="98">
        <v>0.0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B38" s="81" t="s">
        <v>147</v>
      </c>
      <c r="C38" s="81"/>
      <c r="D38" s="81"/>
      <c r="E38" s="81"/>
      <c r="F38" s="81"/>
      <c r="G38" s="81"/>
      <c r="H38" s="81"/>
      <c r="I38" s="81"/>
      <c r="J38" s="82">
        <f>SUM(J37)</f>
        <v>0</v>
      </c>
      <c r="K38" s="81"/>
      <c r="L38" s="82">
        <v>0.0</v>
      </c>
    </row>
    <row r="39" ht="15.75" customHeight="1">
      <c r="A39" s="43"/>
      <c r="B39" s="52"/>
      <c r="C39" s="52"/>
      <c r="D39" s="52"/>
      <c r="E39" s="52"/>
      <c r="F39" s="52"/>
      <c r="G39" s="52"/>
      <c r="H39" s="52"/>
      <c r="I39" s="52"/>
      <c r="J39" s="73"/>
      <c r="K39" s="52"/>
      <c r="L39" s="7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80">
        <v>8510.0</v>
      </c>
      <c r="B40" s="52" t="s">
        <v>197</v>
      </c>
      <c r="C40" s="52"/>
      <c r="D40" s="52"/>
      <c r="E40" s="52"/>
      <c r="F40" s="52"/>
      <c r="G40" s="52"/>
      <c r="H40" s="52"/>
      <c r="I40" s="52"/>
      <c r="J40" s="73"/>
      <c r="K40" s="52"/>
      <c r="L40" s="7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 t="s">
        <v>198</v>
      </c>
      <c r="C41" s="43"/>
      <c r="D41" s="43"/>
      <c r="E41" s="43"/>
      <c r="F41" s="43"/>
      <c r="G41" s="43"/>
      <c r="H41" s="16"/>
      <c r="I41" s="43"/>
      <c r="J41" s="16">
        <v>0.0</v>
      </c>
      <c r="K41" s="43"/>
      <c r="L41" s="16">
        <v>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81" t="s">
        <v>147</v>
      </c>
      <c r="C42" s="81"/>
      <c r="D42" s="81"/>
      <c r="E42" s="81"/>
      <c r="F42" s="81"/>
      <c r="G42" s="81"/>
      <c r="H42" s="81"/>
      <c r="I42" s="81"/>
      <c r="J42" s="82">
        <f>SUM(J41)</f>
        <v>0</v>
      </c>
      <c r="K42" s="81"/>
      <c r="L42" s="82">
        <v>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J43" s="16"/>
      <c r="L43" s="16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7"/>
      <c r="B44" s="47" t="s">
        <v>4</v>
      </c>
      <c r="C44" s="47"/>
      <c r="D44" s="47"/>
      <c r="E44" s="47"/>
      <c r="F44" s="47"/>
      <c r="G44" s="47"/>
      <c r="H44" s="47"/>
      <c r="I44" s="47"/>
      <c r="J44" s="57">
        <f>SUM(J31:J43)/2</f>
        <v>0</v>
      </c>
      <c r="K44" s="47"/>
      <c r="L44" s="57">
        <v>0.0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49"/>
      <c r="Z44" s="49"/>
    </row>
    <row r="45" ht="15.75" customHeight="1">
      <c r="J45" s="16"/>
      <c r="L45" s="16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7"/>
      <c r="B46" s="47" t="s">
        <v>5</v>
      </c>
      <c r="C46" s="47"/>
      <c r="D46" s="47"/>
      <c r="E46" s="47"/>
      <c r="F46" s="47"/>
      <c r="G46" s="47"/>
      <c r="H46" s="47"/>
      <c r="I46" s="47"/>
      <c r="J46" s="57">
        <f>J30-J44</f>
        <v>256557.6433</v>
      </c>
      <c r="K46" s="47"/>
      <c r="L46" s="57">
        <v>323453.1729181407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49"/>
      <c r="Z46" s="49"/>
    </row>
    <row r="47" ht="15.75" customHeight="1"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6">
    <cfRule type="cellIs" dxfId="0" priority="1" operator="greaterThan">
      <formula>L17</formula>
    </cfRule>
  </conditionalFormatting>
  <conditionalFormatting sqref="J16">
    <cfRule type="cellIs" dxfId="1" priority="2" operator="lessThan">
      <formula>L17</formula>
    </cfRule>
  </conditionalFormatting>
  <conditionalFormatting sqref="J19:J27 J33 J37 J41">
    <cfRule type="cellIs" dxfId="0" priority="3" operator="greaterThan">
      <formula>L19</formula>
    </cfRule>
  </conditionalFormatting>
  <conditionalFormatting sqref="J19:J27 J33 J37 J41">
    <cfRule type="cellIs" dxfId="1" priority="4" operator="lessThan">
      <formula>L19</formula>
    </cfRule>
  </conditionalFormatting>
  <conditionalFormatting sqref="J8 L8">
    <cfRule type="cellIs" dxfId="0" priority="5" operator="greaterThan">
      <formula>0</formula>
    </cfRule>
  </conditionalFormatting>
  <conditionalFormatting sqref="J8 L8">
    <cfRule type="cellIs" dxfId="2" priority="6" operator="equal">
      <formula>0</formula>
    </cfRule>
  </conditionalFormatting>
  <conditionalFormatting sqref="J8 L8">
    <cfRule type="cellIs" dxfId="0" priority="7" operator="greaterThanOrEqual">
      <formula>0</formula>
    </cfRule>
  </conditionalFormatting>
  <conditionalFormatting sqref="J8 L8">
    <cfRule type="cellIs" dxfId="1" priority="8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3.88"/>
    <col customWidth="1" min="7" max="7" width="1.88"/>
    <col customWidth="1" min="8" max="8" width="8.0"/>
    <col customWidth="1" min="9" max="9" width="1.88"/>
    <col customWidth="1" min="10" max="10" width="11.13"/>
    <col customWidth="1" min="11" max="11" width="8.0"/>
    <col customWidth="1" min="12" max="12" width="16.88"/>
  </cols>
  <sheetData>
    <row r="1">
      <c r="A1" s="40" t="s">
        <v>86</v>
      </c>
      <c r="B1" s="40" t="s">
        <v>669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670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J57</f>
        <v>19428</v>
      </c>
      <c r="K7" s="42"/>
      <c r="L7" s="37">
        <v>19928.0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-19428</v>
      </c>
      <c r="K8" s="42"/>
      <c r="L8" s="37">
        <v>-19928.0</v>
      </c>
      <c r="M8" s="49"/>
      <c r="N8" s="132"/>
      <c r="O8" s="132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132"/>
      <c r="O9" s="132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  <c r="Z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  <c r="Z12" s="49"/>
    </row>
    <row r="13" ht="15.75" customHeight="1">
      <c r="A13" s="43"/>
      <c r="B13" s="52"/>
      <c r="C13" s="43"/>
      <c r="D13" s="43"/>
      <c r="E13" s="43"/>
      <c r="F13" s="43"/>
      <c r="G13" s="43"/>
      <c r="H13" s="43"/>
      <c r="I13" s="43"/>
      <c r="J13" s="73"/>
      <c r="K13" s="43"/>
      <c r="L13" s="73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5.75" customHeight="1">
      <c r="A14" s="80">
        <v>4000.0</v>
      </c>
      <c r="B14" s="52" t="s">
        <v>671</v>
      </c>
      <c r="C14" s="43"/>
      <c r="D14" s="43"/>
      <c r="E14" s="43"/>
      <c r="F14" s="43"/>
      <c r="G14" s="43"/>
      <c r="H14" s="43"/>
      <c r="I14" s="43"/>
      <c r="J14" s="73"/>
      <c r="K14" s="43"/>
      <c r="L14" s="73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5.75" customHeight="1">
      <c r="A15" s="2"/>
      <c r="B15" s="2" t="s">
        <v>672</v>
      </c>
      <c r="C15" s="2"/>
      <c r="D15" s="2"/>
      <c r="E15" s="43"/>
      <c r="F15" s="2"/>
      <c r="G15" s="43"/>
      <c r="H15" s="9"/>
      <c r="I15" s="2"/>
      <c r="J15" s="16">
        <v>6500.0</v>
      </c>
      <c r="K15" s="9"/>
      <c r="L15" s="11">
        <v>6500.0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5.75" customHeight="1">
      <c r="A16" s="43"/>
      <c r="B16" s="43" t="s">
        <v>673</v>
      </c>
      <c r="C16" s="43"/>
      <c r="D16" s="43"/>
      <c r="E16" s="43"/>
      <c r="F16" s="43"/>
      <c r="G16" s="43"/>
      <c r="H16" s="43"/>
      <c r="I16" s="43"/>
      <c r="J16" s="16">
        <v>0.0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43"/>
      <c r="B17" s="43" t="s">
        <v>674</v>
      </c>
      <c r="C17" s="43"/>
      <c r="D17" s="43"/>
      <c r="E17" s="43"/>
      <c r="F17" s="43"/>
      <c r="G17" s="43"/>
      <c r="H17" s="43"/>
      <c r="I17" s="43"/>
      <c r="J17" s="16">
        <v>0.0</v>
      </c>
      <c r="K17" s="43"/>
      <c r="L17" s="16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43"/>
      <c r="B18" s="81" t="s">
        <v>147</v>
      </c>
      <c r="C18" s="31"/>
      <c r="D18" s="31"/>
      <c r="E18" s="31"/>
      <c r="F18" s="31"/>
      <c r="G18" s="31"/>
      <c r="H18" s="31"/>
      <c r="I18" s="31"/>
      <c r="J18" s="82">
        <f>SUM(J15:J17)</f>
        <v>6500</v>
      </c>
      <c r="K18" s="31"/>
      <c r="L18" s="82">
        <v>6500.0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80">
        <v>4002.0</v>
      </c>
      <c r="B20" s="52" t="s">
        <v>276</v>
      </c>
      <c r="C20" s="52"/>
      <c r="D20" s="52"/>
      <c r="E20" s="52"/>
      <c r="F20" s="52"/>
      <c r="G20" s="52"/>
      <c r="H20" s="52"/>
      <c r="I20" s="52"/>
      <c r="J20" s="73"/>
      <c r="K20" s="52"/>
      <c r="L20" s="73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3"/>
      <c r="B21" s="43" t="s">
        <v>146</v>
      </c>
      <c r="C21" s="43"/>
      <c r="D21" s="43"/>
      <c r="E21" s="43"/>
      <c r="F21" s="43"/>
      <c r="G21" s="43"/>
      <c r="H21" s="43"/>
      <c r="I21" s="43"/>
      <c r="J21" s="59">
        <v>0.0</v>
      </c>
      <c r="K21" s="43"/>
      <c r="L21" s="16">
        <v>500.0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3"/>
      <c r="B22" s="81" t="s">
        <v>147</v>
      </c>
      <c r="C22" s="31"/>
      <c r="D22" s="31"/>
      <c r="E22" s="31"/>
      <c r="F22" s="31"/>
      <c r="G22" s="31"/>
      <c r="H22" s="31"/>
      <c r="I22" s="31"/>
      <c r="J22" s="82">
        <f>SUM(J21)</f>
        <v>0</v>
      </c>
      <c r="K22" s="31"/>
      <c r="L22" s="82">
        <v>500.0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3"/>
      <c r="B23" s="52"/>
      <c r="C23" s="43"/>
      <c r="D23" s="43"/>
      <c r="E23" s="43"/>
      <c r="F23" s="43"/>
      <c r="G23" s="43"/>
      <c r="H23" s="43"/>
      <c r="I23" s="43"/>
      <c r="J23" s="73"/>
      <c r="K23" s="43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80">
        <v>4310.0</v>
      </c>
      <c r="B24" s="52" t="s">
        <v>177</v>
      </c>
      <c r="C24" s="52"/>
      <c r="D24" s="52"/>
      <c r="E24" s="52"/>
      <c r="F24" s="52"/>
      <c r="G24" s="52"/>
      <c r="H24" s="52"/>
      <c r="I24" s="52"/>
      <c r="J24" s="73"/>
      <c r="K24" s="52"/>
      <c r="L24" s="7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2"/>
      <c r="B25" s="2" t="s">
        <v>675</v>
      </c>
      <c r="C25" s="2"/>
      <c r="D25" s="2"/>
      <c r="F25" s="2"/>
      <c r="H25" s="9"/>
      <c r="I25" s="2"/>
      <c r="J25" s="16">
        <v>0.0</v>
      </c>
      <c r="K25" s="9"/>
      <c r="L25" s="11">
        <v>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2"/>
      <c r="B26" s="2" t="s">
        <v>676</v>
      </c>
      <c r="C26" s="2"/>
      <c r="D26" s="2"/>
      <c r="E26" s="43"/>
      <c r="F26" s="2"/>
      <c r="G26" s="43"/>
      <c r="H26" s="9"/>
      <c r="I26" s="2"/>
      <c r="J26" s="16">
        <v>0.0</v>
      </c>
      <c r="K26" s="9"/>
      <c r="L26" s="11">
        <v>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3"/>
      <c r="B27" s="81" t="s">
        <v>147</v>
      </c>
      <c r="C27" s="31"/>
      <c r="D27" s="31"/>
      <c r="E27" s="31"/>
      <c r="F27" s="31"/>
      <c r="G27" s="31"/>
      <c r="H27" s="31"/>
      <c r="I27" s="31"/>
      <c r="J27" s="82">
        <f>SUM(J25:J26)</f>
        <v>0</v>
      </c>
      <c r="K27" s="31"/>
      <c r="L27" s="82">
        <v>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80">
        <v>5420.0</v>
      </c>
      <c r="B29" s="52" t="s">
        <v>262</v>
      </c>
      <c r="C29" s="52"/>
      <c r="D29" s="52"/>
      <c r="E29" s="52"/>
      <c r="F29" s="52"/>
      <c r="G29" s="52"/>
      <c r="H29" s="52"/>
      <c r="I29" s="52"/>
      <c r="J29" s="73"/>
      <c r="K29" s="52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3"/>
      <c r="B30" s="43" t="s">
        <v>677</v>
      </c>
      <c r="C30" s="43"/>
      <c r="D30" s="43"/>
      <c r="E30" s="43"/>
      <c r="F30" s="43"/>
      <c r="G30" s="43"/>
      <c r="H30" s="43"/>
      <c r="I30" s="43"/>
      <c r="J30" s="16">
        <v>0.0</v>
      </c>
      <c r="K30" s="43"/>
      <c r="L30" s="16">
        <v>0.0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3"/>
      <c r="B31" s="43" t="s">
        <v>678</v>
      </c>
      <c r="C31" s="43"/>
      <c r="D31" s="43"/>
      <c r="E31" s="43"/>
      <c r="F31" s="43"/>
      <c r="G31" s="43"/>
      <c r="H31" s="90"/>
      <c r="I31" s="43"/>
      <c r="J31" s="16">
        <v>0.0</v>
      </c>
      <c r="K31" s="43"/>
      <c r="L31" s="16">
        <v>0.0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3"/>
      <c r="B32" s="81" t="s">
        <v>147</v>
      </c>
      <c r="C32" s="31"/>
      <c r="D32" s="31"/>
      <c r="E32" s="31"/>
      <c r="F32" s="31"/>
      <c r="G32" s="31"/>
      <c r="H32" s="31"/>
      <c r="I32" s="31"/>
      <c r="J32" s="82">
        <f>SUM(J30:J31)</f>
        <v>0</v>
      </c>
      <c r="K32" s="31"/>
      <c r="L32" s="82">
        <v>0.0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80">
        <v>5480.0</v>
      </c>
      <c r="B34" s="52" t="s">
        <v>148</v>
      </c>
      <c r="C34" s="52"/>
      <c r="D34" s="52"/>
      <c r="E34" s="52"/>
      <c r="F34" s="52"/>
      <c r="G34" s="52"/>
      <c r="H34" s="52"/>
      <c r="I34" s="52"/>
      <c r="J34" s="73"/>
      <c r="K34" s="52"/>
      <c r="L34" s="7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3"/>
      <c r="B35" s="43" t="s">
        <v>679</v>
      </c>
      <c r="C35" s="43"/>
      <c r="D35" s="43"/>
      <c r="E35" s="43"/>
      <c r="F35" s="43">
        <v>14.0</v>
      </c>
      <c r="G35" s="43" t="s">
        <v>155</v>
      </c>
      <c r="H35" s="16">
        <v>350.0</v>
      </c>
      <c r="I35" s="84" t="s">
        <v>119</v>
      </c>
      <c r="J35" s="59">
        <f>F35*H35</f>
        <v>4900</v>
      </c>
      <c r="K35" s="16"/>
      <c r="L35" s="16">
        <v>4900.0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3"/>
      <c r="B36" s="81" t="s">
        <v>147</v>
      </c>
      <c r="C36" s="81"/>
      <c r="D36" s="81"/>
      <c r="E36" s="81"/>
      <c r="F36" s="81"/>
      <c r="G36" s="81"/>
      <c r="H36" s="81"/>
      <c r="I36" s="81"/>
      <c r="J36" s="82">
        <f>SUM(J35)</f>
        <v>4900</v>
      </c>
      <c r="K36" s="81"/>
      <c r="L36" s="82">
        <v>4900.0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80">
        <v>5900.0</v>
      </c>
      <c r="B38" s="52" t="s">
        <v>424</v>
      </c>
      <c r="C38" s="52"/>
      <c r="D38" s="52"/>
      <c r="E38" s="52"/>
      <c r="F38" s="52"/>
      <c r="G38" s="52"/>
      <c r="H38" s="52"/>
      <c r="I38" s="52"/>
      <c r="J38" s="73"/>
      <c r="K38" s="52"/>
      <c r="L38" s="73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3"/>
      <c r="B39" s="43" t="s">
        <v>185</v>
      </c>
      <c r="C39" s="43"/>
      <c r="D39" s="43"/>
      <c r="E39" s="43"/>
      <c r="F39" s="43"/>
      <c r="G39" s="43"/>
      <c r="H39" s="43"/>
      <c r="I39" s="43"/>
      <c r="J39" s="16">
        <v>500.0</v>
      </c>
      <c r="K39" s="43"/>
      <c r="L39" s="16">
        <v>500.0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3"/>
      <c r="B40" s="43" t="s">
        <v>680</v>
      </c>
      <c r="C40" s="43"/>
      <c r="D40" s="43"/>
      <c r="E40" s="43"/>
      <c r="F40" s="43"/>
      <c r="G40" s="43"/>
      <c r="H40" s="43"/>
      <c r="I40" s="43"/>
      <c r="J40" s="16">
        <v>500.0</v>
      </c>
      <c r="K40" s="43"/>
      <c r="L40" s="16">
        <v>500.0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3"/>
      <c r="B41" s="43" t="s">
        <v>681</v>
      </c>
      <c r="C41" s="43"/>
      <c r="D41" s="43"/>
      <c r="E41" s="43"/>
      <c r="F41" s="43"/>
      <c r="G41" s="43"/>
      <c r="H41" s="43"/>
      <c r="I41" s="43"/>
      <c r="J41" s="16">
        <v>2000.0</v>
      </c>
      <c r="K41" s="43"/>
      <c r="L41" s="16">
        <v>2000.0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3"/>
      <c r="B42" s="81" t="s">
        <v>147</v>
      </c>
      <c r="C42" s="31"/>
      <c r="D42" s="31"/>
      <c r="E42" s="31"/>
      <c r="F42" s="31"/>
      <c r="G42" s="31"/>
      <c r="H42" s="31"/>
      <c r="I42" s="31"/>
      <c r="J42" s="82">
        <f>SUM(J39:J41)</f>
        <v>3000</v>
      </c>
      <c r="K42" s="31"/>
      <c r="L42" s="82">
        <v>3000.0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3"/>
      <c r="B43" s="52"/>
      <c r="C43" s="43"/>
      <c r="D43" s="43"/>
      <c r="E43" s="43"/>
      <c r="F43" s="43"/>
      <c r="G43" s="43"/>
      <c r="H43" s="43"/>
      <c r="I43" s="43"/>
      <c r="J43" s="73"/>
      <c r="K43" s="43"/>
      <c r="L43" s="7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80">
        <v>6530.0</v>
      </c>
      <c r="B44" s="52" t="s">
        <v>344</v>
      </c>
      <c r="C44" s="43"/>
      <c r="D44" s="43"/>
      <c r="E44" s="43"/>
      <c r="F44" s="43"/>
      <c r="G44" s="43"/>
      <c r="H44" s="43"/>
      <c r="I44" s="43"/>
      <c r="J44" s="16"/>
      <c r="K44" s="43"/>
      <c r="L44" s="16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3"/>
      <c r="B45" s="43" t="s">
        <v>345</v>
      </c>
      <c r="C45" s="43"/>
      <c r="D45" s="43"/>
      <c r="F45" s="43">
        <v>1.0</v>
      </c>
      <c r="G45" s="43" t="s">
        <v>155</v>
      </c>
      <c r="H45" s="16">
        <v>99.0</v>
      </c>
      <c r="I45" s="84" t="s">
        <v>119</v>
      </c>
      <c r="J45" s="16">
        <f t="shared" ref="J45:J46" si="1">F45*H45</f>
        <v>99</v>
      </c>
      <c r="K45" s="43"/>
      <c r="L45" s="16">
        <v>99.0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3"/>
      <c r="B46" s="43" t="s">
        <v>106</v>
      </c>
      <c r="C46" s="43"/>
      <c r="D46" s="43"/>
      <c r="F46" s="43">
        <v>1.0</v>
      </c>
      <c r="G46" s="43" t="s">
        <v>155</v>
      </c>
      <c r="H46" s="16">
        <v>129.0</v>
      </c>
      <c r="I46" s="84" t="s">
        <v>119</v>
      </c>
      <c r="J46" s="16">
        <f t="shared" si="1"/>
        <v>129</v>
      </c>
      <c r="K46" s="43"/>
      <c r="L46" s="16">
        <v>129.0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3"/>
      <c r="B47" s="81" t="s">
        <v>147</v>
      </c>
      <c r="C47" s="31"/>
      <c r="D47" s="31"/>
      <c r="E47" s="31"/>
      <c r="F47" s="31"/>
      <c r="G47" s="31"/>
      <c r="H47" s="31"/>
      <c r="I47" s="31"/>
      <c r="J47" s="82">
        <f>SUM(J45:J46)</f>
        <v>228</v>
      </c>
      <c r="K47" s="31"/>
      <c r="L47" s="82">
        <v>228.0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80">
        <v>7600.0</v>
      </c>
      <c r="B49" s="52" t="s">
        <v>157</v>
      </c>
      <c r="C49" s="52"/>
      <c r="D49" s="52"/>
      <c r="E49" s="52"/>
      <c r="F49" s="52"/>
      <c r="G49" s="52"/>
      <c r="H49" s="52"/>
      <c r="I49" s="52"/>
      <c r="J49" s="73"/>
      <c r="K49" s="52"/>
      <c r="L49" s="7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3"/>
      <c r="B50" s="43" t="s">
        <v>682</v>
      </c>
      <c r="C50" s="43"/>
      <c r="D50" s="43"/>
      <c r="E50" s="43"/>
      <c r="F50" s="43"/>
      <c r="G50" s="43"/>
      <c r="H50" s="43"/>
      <c r="I50" s="43"/>
      <c r="J50" s="16">
        <v>2800.0</v>
      </c>
      <c r="K50" s="43"/>
      <c r="L50" s="16">
        <v>2800.0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3"/>
      <c r="B51" s="81" t="s">
        <v>147</v>
      </c>
      <c r="C51" s="31"/>
      <c r="D51" s="31"/>
      <c r="E51" s="31"/>
      <c r="F51" s="31"/>
      <c r="G51" s="31"/>
      <c r="H51" s="31"/>
      <c r="I51" s="31"/>
      <c r="J51" s="82">
        <f>SUM(J50)</f>
        <v>2800</v>
      </c>
      <c r="K51" s="31"/>
      <c r="L51" s="82">
        <v>2800.0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80">
        <v>7602.0</v>
      </c>
      <c r="B53" s="52" t="s">
        <v>194</v>
      </c>
      <c r="C53" s="52"/>
      <c r="D53" s="52"/>
      <c r="E53" s="52"/>
      <c r="F53" s="52"/>
      <c r="G53" s="52"/>
      <c r="H53" s="52"/>
      <c r="I53" s="52"/>
      <c r="J53" s="73"/>
      <c r="K53" s="52"/>
      <c r="L53" s="73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3"/>
      <c r="B54" s="43" t="s">
        <v>194</v>
      </c>
      <c r="C54" s="43"/>
      <c r="D54" s="43"/>
      <c r="E54" s="43"/>
      <c r="F54" s="43"/>
      <c r="G54" s="43"/>
      <c r="H54" s="43"/>
      <c r="I54" s="43"/>
      <c r="J54" s="16">
        <v>2000.0</v>
      </c>
      <c r="K54" s="43"/>
      <c r="L54" s="16">
        <v>2000.0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3"/>
      <c r="B55" s="81" t="s">
        <v>147</v>
      </c>
      <c r="C55" s="31"/>
      <c r="D55" s="31"/>
      <c r="E55" s="31"/>
      <c r="F55" s="31"/>
      <c r="G55" s="31"/>
      <c r="H55" s="31"/>
      <c r="I55" s="31"/>
      <c r="J55" s="82">
        <f>SUM(J54)</f>
        <v>2000</v>
      </c>
      <c r="K55" s="31"/>
      <c r="L55" s="82">
        <v>2000.0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16"/>
      <c r="K56" s="43"/>
      <c r="L56" s="16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7"/>
      <c r="B57" s="47" t="s">
        <v>4</v>
      </c>
      <c r="C57" s="47"/>
      <c r="D57" s="47"/>
      <c r="E57" s="47"/>
      <c r="F57" s="47"/>
      <c r="G57" s="47"/>
      <c r="H57" s="47"/>
      <c r="I57" s="47"/>
      <c r="J57" s="57">
        <f>SUM(J13:J56)/2</f>
        <v>19428</v>
      </c>
      <c r="K57" s="47"/>
      <c r="L57" s="57">
        <v>19928.0</v>
      </c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49"/>
      <c r="Z57" s="49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16"/>
      <c r="K58" s="43"/>
      <c r="L58" s="16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7"/>
      <c r="B59" s="47" t="s">
        <v>5</v>
      </c>
      <c r="C59" s="47"/>
      <c r="D59" s="47"/>
      <c r="E59" s="47"/>
      <c r="F59" s="47"/>
      <c r="G59" s="47"/>
      <c r="H59" s="47"/>
      <c r="I59" s="47"/>
      <c r="J59" s="57">
        <f>J12-J57</f>
        <v>-19428</v>
      </c>
      <c r="K59" s="47"/>
      <c r="L59" s="57">
        <v>-19928.0</v>
      </c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49"/>
      <c r="Z59" s="49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3"/>
      <c r="B61" s="52"/>
      <c r="C61" s="52"/>
      <c r="D61" s="52"/>
      <c r="E61" s="52"/>
      <c r="F61" s="52"/>
      <c r="G61" s="52"/>
      <c r="H61" s="52"/>
      <c r="I61" s="52"/>
      <c r="J61" s="73"/>
      <c r="K61" s="52"/>
      <c r="L61" s="73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2"/>
      <c r="B62" s="2"/>
      <c r="C62" s="2"/>
      <c r="D62" s="2"/>
      <c r="F62" s="2"/>
      <c r="H62" s="9"/>
      <c r="I62" s="2"/>
      <c r="J62" s="11"/>
      <c r="K62" s="9"/>
      <c r="L62" s="1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2"/>
      <c r="B63" s="2"/>
      <c r="C63" s="2"/>
      <c r="D63" s="2"/>
      <c r="F63" s="2"/>
      <c r="H63" s="9"/>
      <c r="I63" s="2"/>
      <c r="J63" s="11"/>
      <c r="K63" s="9"/>
      <c r="L63" s="1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2"/>
      <c r="B64" s="2"/>
      <c r="C64" s="2"/>
      <c r="D64" s="2"/>
      <c r="F64" s="2"/>
      <c r="H64" s="9"/>
      <c r="I64" s="2"/>
      <c r="J64" s="11"/>
      <c r="K64" s="9"/>
      <c r="L64" s="1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B65" s="43"/>
      <c r="J65" s="16"/>
      <c r="L65" s="16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B66" s="43"/>
      <c r="J66" s="16"/>
      <c r="L66" s="16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C2"/>
    <mergeCell ref="A6:B6"/>
    <mergeCell ref="A7:B7"/>
    <mergeCell ref="A8:B8"/>
  </mergeCells>
  <conditionalFormatting sqref="J15:J17 J21 J25:J26 J30:J31 J35 J39:J41 J45:J46 J50 J54">
    <cfRule type="cellIs" dxfId="0" priority="1" operator="greaterThan">
      <formula>L15</formula>
    </cfRule>
  </conditionalFormatting>
  <conditionalFormatting sqref="J15:J17 J21 J25:J26 J30:J31 J35 J39:J41 J45:J46 J50 J54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paperSize="9" cellComments="atEnd" orientation="portrait" pageOrder="overThenDown"/>
  <drawing r:id="rId4"/>
  <legacyDrawing r:id="rId5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1.13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>
      <c r="A1" s="40" t="s">
        <v>89</v>
      </c>
      <c r="B1" s="40" t="s">
        <v>26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683</v>
      </c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3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3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J37</f>
        <v>1035</v>
      </c>
      <c r="K7" s="42"/>
      <c r="L7" s="37">
        <v>4170.0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-1035</v>
      </c>
      <c r="K8" s="42"/>
      <c r="L8" s="37">
        <v>-4170.0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79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16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57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16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276</v>
      </c>
      <c r="C14" s="43"/>
      <c r="D14" s="43"/>
      <c r="E14" s="43"/>
      <c r="F14" s="43"/>
      <c r="G14" s="43"/>
      <c r="H14" s="43"/>
      <c r="I14" s="43"/>
      <c r="J14" s="16"/>
      <c r="K14" s="43"/>
      <c r="L14" s="16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684</v>
      </c>
      <c r="C15" s="43"/>
      <c r="D15" s="43"/>
      <c r="E15" s="43"/>
      <c r="F15" s="43">
        <v>5.0</v>
      </c>
      <c r="G15" s="43" t="s">
        <v>155</v>
      </c>
      <c r="H15" s="16">
        <f>Parametrar!$I$10</f>
        <v>0</v>
      </c>
      <c r="I15" s="84" t="s">
        <v>119</v>
      </c>
      <c r="J15" s="16">
        <f>F15*H15</f>
        <v>0</v>
      </c>
      <c r="K15" s="43"/>
      <c r="L15" s="16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43" t="s">
        <v>146</v>
      </c>
      <c r="C16" s="43"/>
      <c r="D16" s="43"/>
      <c r="E16" s="43"/>
      <c r="F16" s="43"/>
      <c r="G16" s="43"/>
      <c r="H16" s="43"/>
      <c r="I16" s="43"/>
      <c r="J16" s="16">
        <v>0.0</v>
      </c>
      <c r="K16" s="43"/>
      <c r="L16" s="16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81" t="s">
        <v>147</v>
      </c>
      <c r="C17" s="31"/>
      <c r="D17" s="31"/>
      <c r="E17" s="31"/>
      <c r="F17" s="31"/>
      <c r="G17" s="31"/>
      <c r="H17" s="31"/>
      <c r="I17" s="31"/>
      <c r="J17" s="82">
        <f>SUM(J16,J15)</f>
        <v>0</v>
      </c>
      <c r="K17" s="31"/>
      <c r="L17" s="82">
        <v>0.0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3"/>
      <c r="B18" s="52"/>
      <c r="C18" s="43"/>
      <c r="D18" s="43"/>
      <c r="E18" s="43"/>
      <c r="F18" s="43"/>
      <c r="G18" s="43"/>
      <c r="H18" s="43"/>
      <c r="I18" s="43"/>
      <c r="J18" s="73"/>
      <c r="K18" s="43"/>
      <c r="L18" s="7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80">
        <v>4310.0</v>
      </c>
      <c r="B19" s="52" t="s">
        <v>177</v>
      </c>
      <c r="C19" s="43"/>
      <c r="D19" s="43"/>
      <c r="E19" s="43"/>
      <c r="F19" s="43"/>
      <c r="G19" s="43"/>
      <c r="H19" s="43"/>
      <c r="I19" s="43"/>
      <c r="J19" s="16"/>
      <c r="K19" s="43"/>
      <c r="L19" s="16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207</v>
      </c>
      <c r="C20" s="43"/>
      <c r="D20" s="43"/>
      <c r="E20" s="43"/>
      <c r="F20" s="43"/>
      <c r="G20" s="43"/>
      <c r="H20" s="16"/>
      <c r="I20" s="43"/>
      <c r="J20" s="16">
        <v>0.0</v>
      </c>
      <c r="K20" s="43"/>
      <c r="L20" s="16">
        <v>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81" t="s">
        <v>147</v>
      </c>
      <c r="C21" s="31"/>
      <c r="D21" s="31"/>
      <c r="E21" s="31"/>
      <c r="F21" s="31"/>
      <c r="G21" s="31"/>
      <c r="H21" s="31"/>
      <c r="I21" s="31"/>
      <c r="J21" s="82">
        <f>SUM(J20)</f>
        <v>0</v>
      </c>
      <c r="K21" s="31"/>
      <c r="L21" s="82">
        <v>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52"/>
      <c r="C22" s="43"/>
      <c r="D22" s="43"/>
      <c r="E22" s="43"/>
      <c r="F22" s="43"/>
      <c r="G22" s="43"/>
      <c r="H22" s="43"/>
      <c r="I22" s="43"/>
      <c r="J22" s="73"/>
      <c r="K22" s="43"/>
      <c r="L22" s="73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80">
        <v>5480.0</v>
      </c>
      <c r="B23" s="52" t="s">
        <v>148</v>
      </c>
      <c r="C23" s="52"/>
      <c r="D23" s="52"/>
      <c r="E23" s="52"/>
      <c r="F23" s="52"/>
      <c r="G23" s="52"/>
      <c r="H23" s="52"/>
      <c r="I23" s="52"/>
      <c r="J23" s="73"/>
      <c r="K23" s="52"/>
      <c r="L23" s="73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685</v>
      </c>
      <c r="C24" s="43"/>
      <c r="D24" s="43"/>
      <c r="E24" s="43"/>
      <c r="F24" s="43"/>
      <c r="G24" s="43"/>
      <c r="H24" s="16"/>
      <c r="I24" s="43"/>
      <c r="J24" s="59">
        <v>0.0</v>
      </c>
      <c r="K24" s="43"/>
      <c r="L24" s="16">
        <v>350.0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686</v>
      </c>
      <c r="C25" s="43"/>
      <c r="D25" s="43"/>
      <c r="E25" s="43"/>
      <c r="F25" s="43"/>
      <c r="G25" s="43"/>
      <c r="H25" s="16"/>
      <c r="I25" s="43"/>
      <c r="J25" s="59">
        <v>0.0</v>
      </c>
      <c r="K25" s="43"/>
      <c r="L25" s="16">
        <v>1050.0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43" t="s">
        <v>687</v>
      </c>
      <c r="C26" s="43"/>
      <c r="D26" s="43"/>
      <c r="E26" s="43"/>
      <c r="F26" s="43"/>
      <c r="H26" s="16"/>
      <c r="I26" s="43"/>
      <c r="J26" s="59">
        <v>0.0</v>
      </c>
      <c r="K26" s="43"/>
      <c r="L26" s="16">
        <v>350.0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 t="s">
        <v>688</v>
      </c>
      <c r="C27" s="43"/>
      <c r="D27" s="43"/>
      <c r="E27" s="43"/>
      <c r="F27" s="43"/>
      <c r="H27" s="16"/>
      <c r="I27" s="43"/>
      <c r="J27" s="59">
        <v>0.0</v>
      </c>
      <c r="K27" s="43"/>
      <c r="L27" s="16">
        <v>350.0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3"/>
      <c r="B28" s="81" t="s">
        <v>147</v>
      </c>
      <c r="C28" s="81"/>
      <c r="D28" s="81"/>
      <c r="E28" s="81"/>
      <c r="F28" s="81"/>
      <c r="G28" s="81"/>
      <c r="H28" s="81"/>
      <c r="I28" s="81"/>
      <c r="J28" s="82">
        <f>SUM(J24:J27)</f>
        <v>0</v>
      </c>
      <c r="K28" s="81"/>
      <c r="L28" s="82">
        <v>2100.0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3"/>
      <c r="B29" s="52"/>
      <c r="C29" s="52"/>
      <c r="D29" s="52"/>
      <c r="E29" s="52"/>
      <c r="F29" s="52"/>
      <c r="G29" s="52"/>
      <c r="H29" s="52"/>
      <c r="I29" s="52"/>
      <c r="J29" s="73"/>
      <c r="K29" s="52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80">
        <v>7600.0</v>
      </c>
      <c r="B30" s="52" t="s">
        <v>157</v>
      </c>
      <c r="C30" s="52"/>
      <c r="D30" s="52"/>
      <c r="E30" s="52"/>
      <c r="F30" s="52"/>
      <c r="G30" s="52"/>
      <c r="H30" s="52"/>
      <c r="I30" s="52"/>
      <c r="J30" s="73"/>
      <c r="K30" s="52"/>
      <c r="L30" s="7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3"/>
      <c r="B31" s="43" t="s">
        <v>689</v>
      </c>
      <c r="C31" s="43"/>
      <c r="D31" s="43"/>
      <c r="E31" s="43"/>
      <c r="F31" s="43"/>
      <c r="G31" s="43"/>
      <c r="H31" s="16"/>
      <c r="I31" s="43"/>
      <c r="J31" s="16">
        <f>Parametrar!$I$8</f>
        <v>207</v>
      </c>
      <c r="K31" s="43"/>
      <c r="L31" s="16">
        <v>414.0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 t="s">
        <v>690</v>
      </c>
      <c r="C32" s="43"/>
      <c r="D32" s="43"/>
      <c r="E32" s="43"/>
      <c r="F32" s="43">
        <v>2.0</v>
      </c>
      <c r="G32" s="43" t="s">
        <v>155</v>
      </c>
      <c r="H32" s="16">
        <f>Parametrar!$I$8</f>
        <v>207</v>
      </c>
      <c r="I32" s="84" t="s">
        <v>119</v>
      </c>
      <c r="J32" s="16">
        <f>F32*H32</f>
        <v>414</v>
      </c>
      <c r="K32" s="43"/>
      <c r="L32" s="16">
        <v>828.0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 t="s">
        <v>691</v>
      </c>
      <c r="C33" s="43"/>
      <c r="D33" s="43"/>
      <c r="E33" s="43"/>
      <c r="F33" s="43"/>
      <c r="H33" s="16"/>
      <c r="I33" s="43"/>
      <c r="J33" s="16">
        <f>Parametrar!$I$8</f>
        <v>207</v>
      </c>
      <c r="K33" s="43"/>
      <c r="L33" s="16">
        <v>414.0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 t="s">
        <v>692</v>
      </c>
      <c r="C34" s="43"/>
      <c r="D34" s="43"/>
      <c r="E34" s="43"/>
      <c r="F34" s="43"/>
      <c r="H34" s="16"/>
      <c r="I34" s="43"/>
      <c r="J34" s="16">
        <f>Parametrar!$I$8</f>
        <v>207</v>
      </c>
      <c r="K34" s="43"/>
      <c r="L34" s="16">
        <v>414.0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3"/>
      <c r="B35" s="81" t="s">
        <v>147</v>
      </c>
      <c r="C35" s="81"/>
      <c r="D35" s="81"/>
      <c r="E35" s="81"/>
      <c r="F35" s="81"/>
      <c r="G35" s="81"/>
      <c r="H35" s="81"/>
      <c r="I35" s="81"/>
      <c r="J35" s="82">
        <f>SUM(J31:J34)</f>
        <v>1035</v>
      </c>
      <c r="K35" s="81"/>
      <c r="L35" s="82">
        <v>2070.0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16"/>
      <c r="K36" s="43"/>
      <c r="L36" s="16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7"/>
      <c r="B37" s="47" t="s">
        <v>4</v>
      </c>
      <c r="C37" s="47"/>
      <c r="D37" s="47"/>
      <c r="E37" s="47"/>
      <c r="F37" s="47"/>
      <c r="G37" s="47"/>
      <c r="H37" s="47"/>
      <c r="I37" s="47"/>
      <c r="J37" s="57">
        <f>SUM(J13:J36)/2</f>
        <v>1035</v>
      </c>
      <c r="K37" s="47"/>
      <c r="L37" s="57">
        <v>4170.0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49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16"/>
      <c r="K38" s="43"/>
      <c r="L38" s="16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7"/>
      <c r="B39" s="47" t="s">
        <v>5</v>
      </c>
      <c r="C39" s="47"/>
      <c r="D39" s="47"/>
      <c r="E39" s="47"/>
      <c r="F39" s="47"/>
      <c r="G39" s="47"/>
      <c r="H39" s="47"/>
      <c r="I39" s="47"/>
      <c r="J39" s="57">
        <f>J12-J37</f>
        <v>-1035</v>
      </c>
      <c r="K39" s="47"/>
      <c r="L39" s="57">
        <v>-4170.0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49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:J16 J20 J24:J27 J31:J34">
    <cfRule type="cellIs" dxfId="0" priority="1" operator="greaterThan">
      <formula>L15</formula>
    </cfRule>
  </conditionalFormatting>
  <conditionalFormatting sqref="J15:J16 J20 J24:J27 J31:J34">
    <cfRule type="cellIs" dxfId="1" priority="2" operator="lessThan">
      <formula>L15</formula>
    </cfRule>
  </conditionalFormatting>
  <conditionalFormatting sqref="J8 L8">
    <cfRule type="cellIs" dxfId="0" priority="3" operator="greaterThan">
      <formula>0</formula>
    </cfRule>
  </conditionalFormatting>
  <conditionalFormatting sqref="J8 L8">
    <cfRule type="cellIs" dxfId="2" priority="4" operator="equal">
      <formula>0</formula>
    </cfRule>
  </conditionalFormatting>
  <conditionalFormatting sqref="J8 L8">
    <cfRule type="cellIs" dxfId="0" priority="5" operator="greaterThanOrEqual">
      <formula>0</formula>
    </cfRule>
  </conditionalFormatting>
  <conditionalFormatting sqref="J8 L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7.5"/>
    <col customWidth="1" min="5" max="5" width="1.88"/>
    <col customWidth="1" min="6" max="6" width="2.88"/>
    <col customWidth="1" min="7" max="7" width="1.88"/>
    <col customWidth="1" min="8" max="8" width="8.0"/>
    <col customWidth="1" min="9" max="9" width="1.88"/>
    <col customWidth="1" min="10" max="10" width="16.88"/>
    <col customWidth="1" min="12" max="12" width="16.88"/>
  </cols>
  <sheetData>
    <row r="1" ht="15.75" customHeight="1">
      <c r="A1" s="40" t="s">
        <v>92</v>
      </c>
      <c r="B1" s="40" t="s">
        <v>26</v>
      </c>
      <c r="C1" s="40"/>
      <c r="D1" s="40"/>
      <c r="E1" s="40"/>
      <c r="F1" s="40"/>
      <c r="G1" s="40"/>
      <c r="H1" s="40"/>
      <c r="I1" s="40"/>
      <c r="J1" s="40"/>
      <c r="K1" s="40"/>
      <c r="L1" s="2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ht="39.0" customHeight="1">
      <c r="A2" s="77" t="s">
        <v>693</v>
      </c>
      <c r="D2" s="42"/>
      <c r="E2" s="42"/>
      <c r="F2" s="42"/>
      <c r="G2" s="42"/>
      <c r="H2" s="42"/>
      <c r="I2" s="42"/>
      <c r="J2" s="42"/>
      <c r="K2" s="42"/>
      <c r="L2" s="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0"/>
      <c r="B3" s="10"/>
      <c r="C3" s="42"/>
      <c r="D3" s="42"/>
      <c r="E3" s="42"/>
      <c r="F3" s="42"/>
      <c r="G3" s="42"/>
      <c r="H3" s="42"/>
      <c r="I3" s="42"/>
      <c r="J3" s="37"/>
      <c r="K3" s="42"/>
      <c r="L3" s="9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78"/>
      <c r="B4" s="78"/>
      <c r="C4" s="45"/>
      <c r="D4" s="45"/>
      <c r="E4" s="45"/>
      <c r="F4" s="45"/>
      <c r="G4" s="45"/>
      <c r="H4" s="45"/>
      <c r="I4" s="45"/>
      <c r="J4" s="46" t="s">
        <v>1</v>
      </c>
      <c r="K4" s="45"/>
      <c r="L4" s="102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10"/>
      <c r="B5" s="10"/>
      <c r="C5" s="42"/>
      <c r="D5" s="42"/>
      <c r="E5" s="42"/>
      <c r="F5" s="42"/>
      <c r="G5" s="42"/>
      <c r="H5" s="42"/>
      <c r="I5" s="42"/>
      <c r="J5" s="37"/>
      <c r="K5" s="42"/>
      <c r="L5" s="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10" t="s">
        <v>141</v>
      </c>
      <c r="C6" s="42"/>
      <c r="D6" s="42"/>
      <c r="E6" s="42"/>
      <c r="F6" s="42"/>
      <c r="G6" s="42"/>
      <c r="H6" s="42"/>
      <c r="I6" s="42"/>
      <c r="J6" s="37">
        <f>J12</f>
        <v>0</v>
      </c>
      <c r="K6" s="42"/>
      <c r="L6" s="37">
        <v>0.0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10" t="s">
        <v>142</v>
      </c>
      <c r="C7" s="42"/>
      <c r="D7" s="42"/>
      <c r="E7" s="42"/>
      <c r="F7" s="42"/>
      <c r="G7" s="42"/>
      <c r="H7" s="42"/>
      <c r="I7" s="42"/>
      <c r="J7" s="37">
        <f>J28</f>
        <v>10143</v>
      </c>
      <c r="K7" s="42"/>
      <c r="L7" s="37">
        <v>22156.0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10" t="s">
        <v>5</v>
      </c>
      <c r="C8" s="42"/>
      <c r="D8" s="42"/>
      <c r="E8" s="42"/>
      <c r="F8" s="42"/>
      <c r="G8" s="42"/>
      <c r="H8" s="42"/>
      <c r="I8" s="42"/>
      <c r="J8" s="37">
        <f>J6-J7</f>
        <v>-10143</v>
      </c>
      <c r="K8" s="42"/>
      <c r="L8" s="143">
        <v>-22156.0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47" t="s">
        <v>143</v>
      </c>
      <c r="B10" s="47" t="s">
        <v>144</v>
      </c>
      <c r="C10" s="47"/>
      <c r="D10" s="47"/>
      <c r="E10" s="47"/>
      <c r="F10" s="47"/>
      <c r="G10" s="47"/>
      <c r="H10" s="47"/>
      <c r="I10" s="47"/>
      <c r="J10" s="79"/>
      <c r="K10" s="47"/>
      <c r="L10" s="63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49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16"/>
      <c r="K11" s="43"/>
      <c r="L11" s="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7"/>
      <c r="B12" s="47" t="s">
        <v>3</v>
      </c>
      <c r="C12" s="47"/>
      <c r="D12" s="47"/>
      <c r="E12" s="47"/>
      <c r="F12" s="47"/>
      <c r="G12" s="47"/>
      <c r="H12" s="47"/>
      <c r="I12" s="47"/>
      <c r="J12" s="57">
        <v>0.0</v>
      </c>
      <c r="K12" s="47"/>
      <c r="L12" s="144">
        <v>0.0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49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16"/>
      <c r="K13" s="43"/>
      <c r="L13" s="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80">
        <v>4002.0</v>
      </c>
      <c r="B14" s="52" t="s">
        <v>276</v>
      </c>
      <c r="C14" s="43"/>
      <c r="D14" s="43"/>
      <c r="E14" s="43"/>
      <c r="F14" s="43"/>
      <c r="G14" s="43"/>
      <c r="H14" s="43"/>
      <c r="I14" s="43"/>
      <c r="J14" s="16"/>
      <c r="K14" s="43"/>
      <c r="L14" s="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3"/>
      <c r="B15" s="43" t="s">
        <v>146</v>
      </c>
      <c r="C15" s="43"/>
      <c r="D15" s="43"/>
      <c r="E15" s="43"/>
      <c r="F15" s="43"/>
      <c r="G15" s="43"/>
      <c r="H15" s="43"/>
      <c r="I15" s="43"/>
      <c r="J15" s="16">
        <v>0.0</v>
      </c>
      <c r="K15" s="43"/>
      <c r="L15" s="98">
        <v>0.0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3"/>
      <c r="B16" s="81" t="s">
        <v>147</v>
      </c>
      <c r="C16" s="31"/>
      <c r="D16" s="31"/>
      <c r="E16" s="31"/>
      <c r="F16" s="31"/>
      <c r="G16" s="31"/>
      <c r="H16" s="31"/>
      <c r="I16" s="31"/>
      <c r="J16" s="82">
        <f>SUM(J15)</f>
        <v>0</v>
      </c>
      <c r="K16" s="31"/>
      <c r="L16" s="37">
        <v>0.0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3"/>
      <c r="B17" s="52"/>
      <c r="C17" s="43"/>
      <c r="D17" s="43"/>
      <c r="E17" s="43"/>
      <c r="F17" s="43"/>
      <c r="G17" s="43"/>
      <c r="H17" s="43"/>
      <c r="I17" s="43"/>
      <c r="J17" s="73"/>
      <c r="K17" s="43"/>
      <c r="L17" s="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80">
        <v>5480.0</v>
      </c>
      <c r="B18" s="52" t="s">
        <v>148</v>
      </c>
      <c r="C18" s="52"/>
      <c r="D18" s="52"/>
      <c r="E18" s="52"/>
      <c r="F18" s="52"/>
      <c r="G18" s="52"/>
      <c r="H18" s="52"/>
      <c r="I18" s="52"/>
      <c r="J18" s="73"/>
      <c r="K18" s="52"/>
      <c r="L18" s="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3"/>
      <c r="B19" s="43" t="s">
        <v>694</v>
      </c>
      <c r="C19" s="43"/>
      <c r="D19" s="43"/>
      <c r="E19" s="43"/>
      <c r="F19" s="43"/>
      <c r="G19" s="43"/>
      <c r="H19" s="16"/>
      <c r="I19" s="43"/>
      <c r="J19" s="59">
        <v>0.0</v>
      </c>
      <c r="K19" s="43"/>
      <c r="L19" s="11">
        <v>350.0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3"/>
      <c r="B20" s="43" t="s">
        <v>695</v>
      </c>
      <c r="C20" s="43"/>
      <c r="D20" s="43"/>
      <c r="E20" s="43"/>
      <c r="F20" s="43"/>
      <c r="G20" s="43"/>
      <c r="H20" s="16"/>
      <c r="I20" s="43"/>
      <c r="J20" s="59">
        <v>0.0</v>
      </c>
      <c r="K20" s="43"/>
      <c r="L20" s="98">
        <v>9800.0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3"/>
      <c r="B21" s="81" t="s">
        <v>147</v>
      </c>
      <c r="C21" s="81"/>
      <c r="D21" s="81"/>
      <c r="E21" s="81"/>
      <c r="F21" s="81"/>
      <c r="G21" s="81"/>
      <c r="H21" s="81"/>
      <c r="I21" s="81"/>
      <c r="J21" s="82">
        <f>SUM(J19:J20)</f>
        <v>0</v>
      </c>
      <c r="K21" s="81"/>
      <c r="L21" s="37">
        <v>10150.0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3"/>
      <c r="B22" s="52"/>
      <c r="C22" s="52"/>
      <c r="D22" s="52"/>
      <c r="E22" s="52"/>
      <c r="F22" s="52"/>
      <c r="G22" s="52"/>
      <c r="H22" s="52"/>
      <c r="I22" s="52"/>
      <c r="J22" s="73"/>
      <c r="K22" s="52"/>
      <c r="L22" s="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80">
        <v>7600.0</v>
      </c>
      <c r="B23" s="52" t="s">
        <v>157</v>
      </c>
      <c r="C23" s="52"/>
      <c r="D23" s="52"/>
      <c r="E23" s="52"/>
      <c r="F23" s="52"/>
      <c r="G23" s="52"/>
      <c r="H23" s="52"/>
      <c r="I23" s="52"/>
      <c r="J23" s="73"/>
      <c r="K23" s="52"/>
      <c r="L23" s="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3"/>
      <c r="B24" s="43" t="s">
        <v>696</v>
      </c>
      <c r="C24" s="43"/>
      <c r="D24" s="43"/>
      <c r="E24" s="43"/>
      <c r="F24" s="43"/>
      <c r="G24" s="43"/>
      <c r="H24" s="16"/>
      <c r="I24" s="43"/>
      <c r="J24" s="16">
        <f>Parametrar!$I$8</f>
        <v>207</v>
      </c>
      <c r="K24" s="43"/>
      <c r="L24" s="11">
        <v>414.0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3"/>
      <c r="B25" s="43" t="s">
        <v>697</v>
      </c>
      <c r="C25" s="43"/>
      <c r="D25" s="54">
        <v>20.0</v>
      </c>
      <c r="E25" s="62" t="s">
        <v>535</v>
      </c>
      <c r="F25" s="43">
        <v>28.0</v>
      </c>
      <c r="G25" s="43" t="s">
        <v>155</v>
      </c>
      <c r="H25" s="16">
        <f>Parametrar!$I$8</f>
        <v>207</v>
      </c>
      <c r="I25" s="84" t="s">
        <v>119</v>
      </c>
      <c r="J25" s="16">
        <f>(F25+D25)*H25</f>
        <v>9936</v>
      </c>
      <c r="K25" s="43"/>
      <c r="L25" s="98">
        <v>11592.0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3"/>
      <c r="B26" s="81" t="s">
        <v>147</v>
      </c>
      <c r="C26" s="81"/>
      <c r="D26" s="81"/>
      <c r="E26" s="81"/>
      <c r="F26" s="81"/>
      <c r="G26" s="81"/>
      <c r="H26" s="81"/>
      <c r="I26" s="81"/>
      <c r="J26" s="82">
        <f>SUM(J24:J25)</f>
        <v>10143</v>
      </c>
      <c r="K26" s="81"/>
      <c r="L26" s="37">
        <v>12006.0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16"/>
      <c r="K27" s="43"/>
      <c r="L27" s="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7"/>
      <c r="B28" s="47" t="s">
        <v>4</v>
      </c>
      <c r="C28" s="47"/>
      <c r="D28" s="47"/>
      <c r="E28" s="47"/>
      <c r="F28" s="47"/>
      <c r="G28" s="47"/>
      <c r="H28" s="47"/>
      <c r="I28" s="47"/>
      <c r="J28" s="57">
        <f>SUM(J13:J27)/2</f>
        <v>10143</v>
      </c>
      <c r="K28" s="47"/>
      <c r="L28" s="144">
        <v>22156.0</v>
      </c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49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16"/>
      <c r="K29" s="43"/>
      <c r="L29" s="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7"/>
      <c r="B30" s="47" t="s">
        <v>5</v>
      </c>
      <c r="C30" s="47"/>
      <c r="D30" s="47"/>
      <c r="E30" s="47"/>
      <c r="F30" s="47"/>
      <c r="G30" s="47"/>
      <c r="H30" s="47"/>
      <c r="I30" s="47"/>
      <c r="J30" s="57">
        <f>J12-J28</f>
        <v>-10143</v>
      </c>
      <c r="K30" s="47"/>
      <c r="L30" s="144">
        <v>-22156.0</v>
      </c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49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A6:B6"/>
    <mergeCell ref="A7:B7"/>
    <mergeCell ref="A8:B8"/>
  </mergeCells>
  <conditionalFormatting sqref="J15 J19:J20 J24:J25">
    <cfRule type="cellIs" dxfId="0" priority="1" operator="greaterThan">
      <formula>L15</formula>
    </cfRule>
  </conditionalFormatting>
  <conditionalFormatting sqref="J15 J19:J20 J24:J25">
    <cfRule type="cellIs" dxfId="1" priority="2" operator="lessThan">
      <formula>L15</formula>
    </cfRule>
  </conditionalFormatting>
  <conditionalFormatting sqref="J8">
    <cfRule type="cellIs" dxfId="0" priority="3" operator="greaterThan">
      <formula>0</formula>
    </cfRule>
  </conditionalFormatting>
  <conditionalFormatting sqref="J8">
    <cfRule type="cellIs" dxfId="2" priority="4" operator="equal">
      <formula>0</formula>
    </cfRule>
  </conditionalFormatting>
  <conditionalFormatting sqref="J8">
    <cfRule type="cellIs" dxfId="0" priority="5" operator="greaterThanOrEqual">
      <formula>0</formula>
    </cfRule>
  </conditionalFormatting>
  <conditionalFormatting sqref="J8">
    <cfRule type="cellIs" dxfId="1" priority="6" operator="lessThan">
      <formula>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